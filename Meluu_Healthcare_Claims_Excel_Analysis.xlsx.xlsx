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85FB0469-CF41-46EA-A5A4-6328F5E201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_HERE" sheetId="1" r:id="rId1"/>
    <sheet name="Raw_Claims" sheetId="2" r:id="rId2"/>
    <sheet name="Providers" sheetId="3" r:id="rId3"/>
    <sheet name="Code_Lookups" sheetId="4" r:id="rId4"/>
    <sheet name="Claim IDs denail of reason" sheetId="6" r:id="rId5"/>
    <sheet name="Billed vs Paid Amount By praye" sheetId="5" r:id="rId6"/>
    <sheet name="Provider Avg Days to process" sheetId="7" r:id="rId7"/>
    <sheet name="Findings" sheetId="8" r:id="rId8"/>
  </sheets>
  <calcPr calcId="191028" refMode="R1C1" iterateCount="0" calcOnSave="0" concurrentCalc="0"/>
  <pivotCaches>
    <pivotCache cacheId="7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Q2" i="2"/>
  <c r="R2" i="2"/>
  <c r="R4" i="2"/>
  <c r="R3" i="2"/>
  <c r="R5" i="2"/>
  <c r="R6" i="2"/>
  <c r="R7" i="2"/>
  <c r="R8" i="2"/>
  <c r="R9" i="2"/>
  <c r="R10" i="2"/>
  <c r="R11" i="2"/>
  <c r="R12" i="2"/>
  <c r="R13" i="2"/>
  <c r="R14" i="2"/>
  <c r="R15" i="2"/>
  <c r="R19" i="2"/>
  <c r="R17" i="2"/>
  <c r="R18" i="2"/>
  <c r="R16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51" i="2"/>
  <c r="R43" i="2"/>
  <c r="R44" i="2"/>
  <c r="R45" i="2"/>
  <c r="R46" i="2"/>
  <c r="R47" i="2"/>
  <c r="R48" i="2"/>
  <c r="R42" i="2"/>
  <c r="R50" i="2"/>
  <c r="R49" i="2"/>
  <c r="R52" i="2"/>
  <c r="R53" i="2"/>
  <c r="R54" i="2"/>
  <c r="R55" i="2"/>
  <c r="R56" i="2"/>
  <c r="R57" i="2"/>
  <c r="R58" i="2"/>
  <c r="R59" i="2"/>
  <c r="R60" i="2"/>
  <c r="R61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9" i="2"/>
  <c r="Q17" i="2"/>
  <c r="Q18" i="2"/>
  <c r="Q16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51" i="2"/>
  <c r="Q43" i="2"/>
  <c r="Q44" i="2"/>
  <c r="Q45" i="2"/>
  <c r="Q46" i="2"/>
  <c r="Q47" i="2"/>
  <c r="Q48" i="2"/>
  <c r="Q42" i="2"/>
  <c r="Q50" i="2"/>
  <c r="Q49" i="2"/>
  <c r="Q52" i="2"/>
  <c r="Q53" i="2"/>
  <c r="Q54" i="2"/>
  <c r="Q55" i="2"/>
  <c r="Q56" i="2"/>
  <c r="Q57" i="2"/>
  <c r="Q58" i="2"/>
  <c r="Q59" i="2"/>
  <c r="Q60" i="2"/>
  <c r="Q61" i="2"/>
</calcChain>
</file>

<file path=xl/sharedStrings.xml><?xml version="1.0" encoding="utf-8"?>
<sst xmlns="http://schemas.openxmlformats.org/spreadsheetml/2006/main" count="736" uniqueCount="254">
  <si>
    <t>HEALTHCARE CLAIMS ANALYSIS – EXCEL PORTFOLIO PROJECT</t>
  </si>
  <si>
    <t>Purpose</t>
  </si>
  <si>
    <t>Learn practical Excel skills using a completely fictional healthcare claims dataset. No real patient data is included.</t>
  </si>
  <si>
    <t>Goal</t>
  </si>
  <si>
    <t>By the end, you will have a GitHub-ready project showing Excel data cleaning, XLOOKUP, PivotTables, conditional formatting, and charts.</t>
  </si>
  <si>
    <t>DAY 1 – FILTERING, SORTING &amp; BASIC FORMULAS</t>
  </si>
  <si>
    <t>1</t>
  </si>
  <si>
    <t>Open Raw_Claims. Turn the dataset into an Excel Table with Ctrl+T and confirm 'My table has headers'.</t>
  </si>
  <si>
    <t>2</t>
  </si>
  <si>
    <t>Filter Claim_Status to show only Denied claims.</t>
  </si>
  <si>
    <t>3</t>
  </si>
  <si>
    <t>Sort Billed_Amount from largest to smallest.</t>
  </si>
  <si>
    <t>4</t>
  </si>
  <si>
    <t>Add a new column named Outstanding_Balance. Formula: Allowed_Amount - Paid_Amount.</t>
  </si>
  <si>
    <t>5</t>
  </si>
  <si>
    <t>Add a new column named Days_to_Process. Formula: Processed_Date - Submission_Date. Leave blank when Processed_Date is blank.</t>
  </si>
  <si>
    <t>DAY 2 – XLOOKUP</t>
  </si>
  <si>
    <t>6</t>
  </si>
  <si>
    <t>Add Provider_Specialty to Raw_Claims using Provider_ID and the Providers sheet.</t>
  </si>
  <si>
    <t>7</t>
  </si>
  <si>
    <t>Add Provider_Region using Provider_ID and the Providers sheet.</t>
  </si>
  <si>
    <t>8</t>
  </si>
  <si>
    <t>Add CPT_Description using CPT_Code and the Code_Lookups sheet.</t>
  </si>
  <si>
    <t>DAY 3 – CONDITIONAL FORMATTING</t>
  </si>
  <si>
    <t>9</t>
  </si>
  <si>
    <t>Highlight Denied claims.</t>
  </si>
  <si>
    <t>10</t>
  </si>
  <si>
    <t>Apply a color scale or data bars to Outstanding_Balance.</t>
  </si>
  <si>
    <t>11</t>
  </si>
  <si>
    <t>Highlight claims with Days_to_Process greater than 30 days.</t>
  </si>
  <si>
    <t>DAY 4 – PIVOTTABLES</t>
  </si>
  <si>
    <t>12</t>
  </si>
  <si>
    <t>Pivot 1: Claim count by Claim_Status.</t>
  </si>
  <si>
    <t>13</t>
  </si>
  <si>
    <t>Pivot 2: Sum of Billed_Amount and Paid_Amount by Payer.</t>
  </si>
  <si>
    <t>14</t>
  </si>
  <si>
    <t>Pivot 3: Denied claim count by Denial_Reason.</t>
  </si>
  <si>
    <t>15</t>
  </si>
  <si>
    <t>Pivot 4: Average Days_to_Process by Provider_Specialty.</t>
  </si>
  <si>
    <t>DAY 5 – CHARTS &amp; INSIGHTS</t>
  </si>
  <si>
    <t>16</t>
  </si>
  <si>
    <t>Create a column chart showing total billed vs. paid by payer.</t>
  </si>
  <si>
    <t>17</t>
  </si>
  <si>
    <t>Create a bar chart of the top denial reasons.</t>
  </si>
  <si>
    <t>18</t>
  </si>
  <si>
    <t>Write 3–5 business insights from your analysis on a new sheet named Findings.</t>
  </si>
  <si>
    <t>GITHUB DELIVERABLES</t>
  </si>
  <si>
    <t>A</t>
  </si>
  <si>
    <t>Completed Excel workbook.</t>
  </si>
  <si>
    <t>B</t>
  </si>
  <si>
    <t>Exported CSV of the cleaned claims data.</t>
  </si>
  <si>
    <t>C</t>
  </si>
  <si>
    <t>2–3 screenshots of PivotTables/charts.</t>
  </si>
  <si>
    <t>D</t>
  </si>
  <si>
    <t>README.md explaining the project, Excel skills used, and your main findings.</t>
  </si>
  <si>
    <t>Important</t>
  </si>
  <si>
    <t>This dataset is synthetic and is for learning/portfolio use only. It is not intended for real medical billing or coding decisions.</t>
  </si>
  <si>
    <t>Claim_ID</t>
  </si>
  <si>
    <t>Patient_ID</t>
  </si>
  <si>
    <t>Provider_ID</t>
  </si>
  <si>
    <t>Service_Date</t>
  </si>
  <si>
    <t>CPT_Code</t>
  </si>
  <si>
    <t>ICD10_Code</t>
  </si>
  <si>
    <t>Billed_Amount</t>
  </si>
  <si>
    <t>Allowed_Amount</t>
  </si>
  <si>
    <t>Paid_Amount</t>
  </si>
  <si>
    <t>Claim_Status</t>
  </si>
  <si>
    <t>Denial_Reason</t>
  </si>
  <si>
    <t>Payer</t>
  </si>
  <si>
    <t>Prior_Auth</t>
  </si>
  <si>
    <t>Eligibility_Verified</t>
  </si>
  <si>
    <t>Submission_Date</t>
  </si>
  <si>
    <t>Processed_Date</t>
  </si>
  <si>
    <t>Outstanding_Balance</t>
  </si>
  <si>
    <t>Days_to_Process</t>
  </si>
  <si>
    <t>Provider_Specialty</t>
  </si>
  <si>
    <t>CLM-1001</t>
  </si>
  <si>
    <t>PT-2008</t>
  </si>
  <si>
    <t>P001</t>
  </si>
  <si>
    <t>04/06/2026</t>
  </si>
  <si>
    <t>73030</t>
  </si>
  <si>
    <t>M25.512</t>
  </si>
  <si>
    <t>$229.11</t>
  </si>
  <si>
    <t>$171.57</t>
  </si>
  <si>
    <t>$92.62</t>
  </si>
  <si>
    <t>Partial</t>
  </si>
  <si>
    <t>Column1</t>
  </si>
  <si>
    <t>Blue Shield</t>
  </si>
  <si>
    <t>Not Required</t>
  </si>
  <si>
    <t>Yes</t>
  </si>
  <si>
    <t>04/07/2026</t>
  </si>
  <si>
    <t>04/17/2026</t>
  </si>
  <si>
    <t>CLM-1053</t>
  </si>
  <si>
    <t>PT-2018</t>
  </si>
  <si>
    <t>P005</t>
  </si>
  <si>
    <t>73721</t>
  </si>
  <si>
    <t>M25.561</t>
  </si>
  <si>
    <t>Denied</t>
  </si>
  <si>
    <t>Duplicate Claim</t>
  </si>
  <si>
    <t>Medicare</t>
  </si>
  <si>
    <t>CLM-1051</t>
  </si>
  <si>
    <t>PT-2034</t>
  </si>
  <si>
    <t>P004</t>
  </si>
  <si>
    <t>M25.551</t>
  </si>
  <si>
    <t>Medical Necessity</t>
  </si>
  <si>
    <t>Cigna</t>
  </si>
  <si>
    <t>CLM-1004</t>
  </si>
  <si>
    <t>PT-2025</t>
  </si>
  <si>
    <t>P002</t>
  </si>
  <si>
    <t>R07.9</t>
  </si>
  <si>
    <t>Paid</t>
  </si>
  <si>
    <t>Aetna</t>
  </si>
  <si>
    <t>CLM-1005</t>
  </si>
  <si>
    <t>97110</t>
  </si>
  <si>
    <t>R51.9</t>
  </si>
  <si>
    <t>CLM-1018</t>
  </si>
  <si>
    <t>PT-2035</t>
  </si>
  <si>
    <t>Coding Error</t>
  </si>
  <si>
    <t>UnitedHealthcare</t>
  </si>
  <si>
    <t>CLM-1007</t>
  </si>
  <si>
    <t>PT-2014</t>
  </si>
  <si>
    <t>P006</t>
  </si>
  <si>
    <t>85025</t>
  </si>
  <si>
    <t>CLM-1008</t>
  </si>
  <si>
    <t>PT-2028</t>
  </si>
  <si>
    <t>P007</t>
  </si>
  <si>
    <t>CLM-1009</t>
  </si>
  <si>
    <t>PT-2005</t>
  </si>
  <si>
    <t>M54.2</t>
  </si>
  <si>
    <t>CLM-1002</t>
  </si>
  <si>
    <t>PT-2015</t>
  </si>
  <si>
    <t>CLM-1011</t>
  </si>
  <si>
    <t>PT-2013</t>
  </si>
  <si>
    <t>P003</t>
  </si>
  <si>
    <t>72148</t>
  </si>
  <si>
    <t>M54.50</t>
  </si>
  <si>
    <t>No</t>
  </si>
  <si>
    <t>CLM-1012</t>
  </si>
  <si>
    <t>PT-2016</t>
  </si>
  <si>
    <t>CLM-1013</t>
  </si>
  <si>
    <t>CLM-1014</t>
  </si>
  <si>
    <t>PT-2022</t>
  </si>
  <si>
    <t>CLM-1020</t>
  </si>
  <si>
    <t>PT-2031</t>
  </si>
  <si>
    <t>70551</t>
  </si>
  <si>
    <t>Missing Prior Authorization</t>
  </si>
  <si>
    <t>CLM-1016</t>
  </si>
  <si>
    <t>PT-2007</t>
  </si>
  <si>
    <t>93000</t>
  </si>
  <si>
    <t>CLM-1017</t>
  </si>
  <si>
    <t>CLM-1010</t>
  </si>
  <si>
    <t>M25.562</t>
  </si>
  <si>
    <t>CLM-1019</t>
  </si>
  <si>
    <t>PT-2019</t>
  </si>
  <si>
    <t>CLM-1006</t>
  </si>
  <si>
    <t>PT-2011</t>
  </si>
  <si>
    <t>P008</t>
  </si>
  <si>
    <t>Timely Filing</t>
  </si>
  <si>
    <t>CLM-1021</t>
  </si>
  <si>
    <t>PT-2003</t>
  </si>
  <si>
    <t>CLM-1022</t>
  </si>
  <si>
    <t>CLM-1023</t>
  </si>
  <si>
    <t>Pending</t>
  </si>
  <si>
    <t>CLM-1024</t>
  </si>
  <si>
    <t>CLM-1025</t>
  </si>
  <si>
    <t>PT-2017</t>
  </si>
  <si>
    <t>CLM-1026</t>
  </si>
  <si>
    <t>PT-2001</t>
  </si>
  <si>
    <t>CLM-1027</t>
  </si>
  <si>
    <t>CLM-1028</t>
  </si>
  <si>
    <t>PT-2027</t>
  </si>
  <si>
    <t>CLM-1029</t>
  </si>
  <si>
    <t>CLM-1030</t>
  </si>
  <si>
    <t>CLM-1031</t>
  </si>
  <si>
    <t>CLM-1032</t>
  </si>
  <si>
    <t>CLM-1033</t>
  </si>
  <si>
    <t>CLM-1034</t>
  </si>
  <si>
    <t>CLM-1035</t>
  </si>
  <si>
    <t>CLM-1036</t>
  </si>
  <si>
    <t>CLM-1037</t>
  </si>
  <si>
    <t>PT-2012</t>
  </si>
  <si>
    <t>CLM-1038</t>
  </si>
  <si>
    <t>CLM-1041</t>
  </si>
  <si>
    <t>CLM-1040</t>
  </si>
  <si>
    <t>PT-2030</t>
  </si>
  <si>
    <t>CLM-1039</t>
  </si>
  <si>
    <t>CLM-1042</t>
  </si>
  <si>
    <t>CLM-1043</t>
  </si>
  <si>
    <t>PT-2002</t>
  </si>
  <si>
    <t>CLM-1044</t>
  </si>
  <si>
    <t>CLM-1045</t>
  </si>
  <si>
    <t>99213</t>
  </si>
  <si>
    <t>CLM-1046</t>
  </si>
  <si>
    <t>CLM-1047</t>
  </si>
  <si>
    <t>CLM-1003</t>
  </si>
  <si>
    <t>PT-2010</t>
  </si>
  <si>
    <t>CLM-1049</t>
  </si>
  <si>
    <t>CLM-1059</t>
  </si>
  <si>
    <t>CLM-1015</t>
  </si>
  <si>
    <t>CLM-1052</t>
  </si>
  <si>
    <t>CLM-1048</t>
  </si>
  <si>
    <t>CLM-1054</t>
  </si>
  <si>
    <t>CLM-1055</t>
  </si>
  <si>
    <t>CLM-1056</t>
  </si>
  <si>
    <t>CLM-1057</t>
  </si>
  <si>
    <t>CLM-1058</t>
  </si>
  <si>
    <t>CLM-1050</t>
  </si>
  <si>
    <t>CLM-1060</t>
  </si>
  <si>
    <t>Provider_Name</t>
  </si>
  <si>
    <t>Specialty</t>
  </si>
  <si>
    <t>Region</t>
  </si>
  <si>
    <t>Harbor Medical Group</t>
  </si>
  <si>
    <t>Primary Care</t>
  </si>
  <si>
    <t>West</t>
  </si>
  <si>
    <t>Pacific Imaging Center</t>
  </si>
  <si>
    <t>Diagnostic Imaging</t>
  </si>
  <si>
    <t>Mesa Orthopedics</t>
  </si>
  <si>
    <t>Orthopedics</t>
  </si>
  <si>
    <t>North County Neurology</t>
  </si>
  <si>
    <t>Neurology</t>
  </si>
  <si>
    <t>Sunrise Family Health</t>
  </si>
  <si>
    <t>Southwest</t>
  </si>
  <si>
    <t>Valley Sports Medicine</t>
  </si>
  <si>
    <t>Sports Medicine</t>
  </si>
  <si>
    <t>Coastal Spine Clinic</t>
  </si>
  <si>
    <t>Evergreen Internal Medicine</t>
  </si>
  <si>
    <t>Internal Medicine</t>
  </si>
  <si>
    <t>Northwest</t>
  </si>
  <si>
    <t>CPT_Description</t>
  </si>
  <si>
    <t>Category</t>
  </si>
  <si>
    <t>Established patient office visit</t>
  </si>
  <si>
    <t>Evaluation &amp; Management</t>
  </si>
  <si>
    <t>MRI brain without contrast</t>
  </si>
  <si>
    <t>MRI lumbar spine without contrast</t>
  </si>
  <si>
    <t>MRI lower-extremity joint without contrast</t>
  </si>
  <si>
    <t>X-ray shoulder</t>
  </si>
  <si>
    <t>Therapeutic exercises</t>
  </si>
  <si>
    <t>Physical Therapy</t>
  </si>
  <si>
    <t>Electrocardiogram</t>
  </si>
  <si>
    <t>Cardiology</t>
  </si>
  <si>
    <t>Complete blood count</t>
  </si>
  <si>
    <t>Laboratory</t>
  </si>
  <si>
    <t>Count of Claim_ID</t>
  </si>
  <si>
    <t>Grand Total</t>
  </si>
  <si>
    <t>Sum of Billed_Amount</t>
  </si>
  <si>
    <t>Sum of Paid_Amount</t>
  </si>
  <si>
    <t>Average of Days_to_Process</t>
  </si>
  <si>
    <t>Healthcare Claims Analysis - Key Findings</t>
  </si>
  <si>
    <t>Sports Medicine had the longest average claim processing time at 36.25 days, compared with the overall average of 24.67 days.</t>
  </si>
  <si>
    <r>
      <t xml:space="preserve">Missing Prior Authorization was the most common denial reason, with </t>
    </r>
    <r>
      <rPr>
        <b/>
        <sz val="11"/>
        <rFont val="Carlito"/>
      </rPr>
      <t>4 of 15 denied claims</t>
    </r>
    <r>
      <rPr>
        <sz val="11"/>
        <rFont val="Carlito"/>
      </rPr>
      <t>.</t>
    </r>
  </si>
  <si>
    <r>
      <t xml:space="preserve">Total billed amount was </t>
    </r>
    <r>
      <rPr>
        <b/>
        <sz val="11"/>
        <rFont val="Carlito"/>
      </rPr>
      <t>$37,161.81</t>
    </r>
    <r>
      <rPr>
        <sz val="11"/>
        <rFont val="Carlito"/>
      </rPr>
      <t xml:space="preserve">, while total paid amount was </t>
    </r>
    <r>
      <rPr>
        <b/>
        <sz val="11"/>
        <rFont val="Carlito"/>
      </rPr>
      <t>$14,527.44</t>
    </r>
    <r>
      <rPr>
        <sz val="11"/>
        <rFont val="Carlito"/>
      </rPr>
      <t xml:space="preserve">, meaning about </t>
    </r>
    <r>
      <rPr>
        <b/>
        <sz val="11"/>
        <rFont val="Carlito"/>
      </rPr>
      <t>39.1%</t>
    </r>
    <r>
      <rPr>
        <sz val="11"/>
        <rFont val="Carlito"/>
      </rPr>
      <t xml:space="preserve"> of billed charges were paid.</t>
    </r>
  </si>
  <si>
    <r>
      <t xml:space="preserve">The gap between billed and paid amounts was </t>
    </r>
    <r>
      <rPr>
        <b/>
        <sz val="11"/>
        <rFont val="Carlito"/>
      </rPr>
      <t>$22,634.37</t>
    </r>
    <r>
      <rPr>
        <sz val="11"/>
        <rFont val="Carlito"/>
      </rPr>
      <t>.</t>
    </r>
  </si>
  <si>
    <r>
      <t xml:space="preserve">Diagnostic Imaging had the fastest average processing time at </t>
    </r>
    <r>
      <rPr>
        <b/>
        <sz val="11"/>
        <rFont val="Carlito"/>
      </rPr>
      <t>19.33 days</t>
    </r>
    <r>
      <rPr>
        <sz val="11"/>
        <rFont val="Carlito"/>
      </rPr>
      <t>.</t>
    </r>
  </si>
  <si>
    <t>Note: This project uses a fully synthetic healthcare claims dataset created for portfolio and learning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</si>
</sst>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&quot;$&quot;#,##0.00"/>
  </numFmts>
  <fonts count="8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  <font>
      <b/>
      <sz val="18"/>
      <name val="Carlito"/>
    </font>
    <font>
      <b/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2" fillId="4" borderId="1" xfId="0" applyNumberFormat="1" applyFont="1" applyFill="1" applyBorder="1" applyAlignment="1">
      <alignment wrapText="1"/>
    </xf>
    <xf numFmtId="0" fontId="3" fillId="5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4" fillId="6" borderId="3" xfId="0" applyFont="1" applyFill="1" applyBorder="1"/>
    <xf numFmtId="164" fontId="4" fillId="6" borderId="3" xfId="0" applyNumberFormat="1" applyFont="1" applyFill="1" applyBorder="1"/>
    <xf numFmtId="165" fontId="4" fillId="6" borderId="3" xfId="0" applyNumberFormat="1" applyFont="1" applyFill="1" applyBorder="1"/>
    <xf numFmtId="0" fontId="5" fillId="7" borderId="3" xfId="0" applyFont="1" applyFill="1" applyBorder="1"/>
    <xf numFmtId="164" fontId="5" fillId="7" borderId="3" xfId="0" applyNumberFormat="1" applyFont="1" applyFill="1" applyBorder="1"/>
    <xf numFmtId="165" fontId="5" fillId="7" borderId="3" xfId="0" applyNumberFormat="1" applyFont="1" applyFill="1" applyBorder="1"/>
    <xf numFmtId="165" fontId="4" fillId="6" borderId="2" xfId="0" applyNumberFormat="1" applyFont="1" applyFill="1" applyBorder="1"/>
    <xf numFmtId="165" fontId="5" fillId="7" borderId="2" xfId="0" applyNumberFormat="1" applyFont="1" applyFill="1" applyBorder="1"/>
    <xf numFmtId="0" fontId="3" fillId="2" borderId="4" xfId="0" applyNumberFormat="1" applyFont="1" applyFill="1" applyBorder="1" applyAlignment="1">
      <alignment horizontal="center" vertical="center"/>
    </xf>
    <xf numFmtId="0" fontId="3" fillId="8" borderId="0" xfId="0" applyNumberFormat="1" applyFont="1" applyFill="1" applyAlignment="1">
      <alignment horizontal="center" vertical="center"/>
    </xf>
    <xf numFmtId="4" fontId="5" fillId="7" borderId="1" xfId="0" applyNumberFormat="1" applyFont="1" applyFill="1" applyBorder="1"/>
    <xf numFmtId="0" fontId="5" fillId="7" borderId="0" xfId="0" applyFont="1" applyFill="1"/>
    <xf numFmtId="0" fontId="0" fillId="0" borderId="0" xfId="0" pivotButton="1"/>
    <xf numFmtId="166" fontId="0" fillId="0" borderId="0" xfId="0" applyNumberFormat="1"/>
    <xf numFmtId="2" fontId="0" fillId="0" borderId="0" xfId="0" applyNumberForma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0" fillId="0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numFmt numFmtId="2" formatCode="0.00"/>
    </dxf>
    <dxf>
      <numFmt numFmtId="166" formatCode="&quot;$&quot;#,##0.00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[Meluu_Healthcare_Claims_Excel_Analysis.xlsx.xlsx]Claim IDs denail of reason!PivotTable2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Denied Claims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'Claim IDs denail of reason'!$B$3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 IDs denail of reason'!$A$4:$A$9</c:f>
              <c:strCache>
                <c:ptCount val="5"/>
                <c:pt idx="0">
                  <c:v>Coding Error</c:v>
                </c:pt>
                <c:pt idx="1">
                  <c:v>Duplicate Claim</c:v>
                </c:pt>
                <c:pt idx="2">
                  <c:v>Medical Necessity</c:v>
                </c:pt>
                <c:pt idx="3">
                  <c:v>Missing Prior Authorization</c:v>
                </c:pt>
                <c:pt idx="4">
                  <c:v>Timely Filing</c:v>
                </c:pt>
              </c:strCache>
            </c:strRef>
          </c:cat>
          <c:val>
            <c:numRef>
              <c:f>'Claim IDs denail of reason'!$B$4:$B$9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5-4F86-977D-0FD5F87A0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8776840"/>
        <c:axId val="958786568"/>
      </c:barChart>
      <c:catAx>
        <c:axId val="958776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86568"/>
        <c:crosses val="autoZero"/>
        <c:auto val="1"/>
        <c:lblAlgn val="ctr"/>
        <c:lblOffset val="100"/>
        <c:noMultiLvlLbl val="0"/>
      </c:catAx>
      <c:valAx>
        <c:axId val="95878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7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[Meluu_Healthcare_Claims_Excel_Analysis.xlsx.xlsx]Billed vs Paid Amount By praye!PivotTable1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Billed vs. Paid Amount by Payer</a:t>
            </a:r>
          </a:p>
        </c:rich>
      </c:tx>
      <c:layout>
        <c:manualLayout>
          <c:xMode val="edge"/>
          <c:yMode val="edge"/>
          <c:x val="0.2615763342082239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'Billed vs Paid Amount By praye'!$B$3</c:f>
              <c:strCache>
                <c:ptCount val="1"/>
                <c:pt idx="0">
                  <c:v>Sum of Billed_Amount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'Billed vs Paid Amount By praye'!$A$4:$A$9</c:f>
              <c:strCache>
                <c:ptCount val="5"/>
                <c:pt idx="0">
                  <c:v>Aetna</c:v>
                </c:pt>
                <c:pt idx="1">
                  <c:v>Blue Shield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'Billed vs Paid Amount By praye'!$B$4:$B$9</c:f>
              <c:numCache>
                <c:formatCode>General</c:formatCode>
                <c:ptCount val="5"/>
                <c:pt idx="0">
                  <c:v>7218.79</c:v>
                </c:pt>
                <c:pt idx="1">
                  <c:v>4888.3600000000006</c:v>
                </c:pt>
                <c:pt idx="2">
                  <c:v>6628.0999999999995</c:v>
                </c:pt>
                <c:pt idx="3">
                  <c:v>8781.14</c:v>
                </c:pt>
                <c:pt idx="4">
                  <c:v>9645.4200000000019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D-44E6-936F-850BA883DA50}"/>
            </c:ext>
          </c:extLst>
        </c:ser>
        <c:ser>
          <c:idx val="1"/>
          <c:order val="1"/>
          <c:tx>
            <c:strRef>
              <c:f>'Billed vs Paid Amount By praye'!$C$3</c:f>
              <c:strCache>
                <c:ptCount val="1"/>
                <c:pt idx="0">
                  <c:v>Sum of Paid_Amount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'Billed vs Paid Amount By praye'!$A$4:$A$9</c:f>
              <c:strCache>
                <c:ptCount val="5"/>
                <c:pt idx="0">
                  <c:v>Aetna</c:v>
                </c:pt>
                <c:pt idx="1">
                  <c:v>Blue Shield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'Billed vs Paid Amount By praye'!$C$4:$C$9</c:f>
              <c:numCache>
                <c:formatCode>General</c:formatCode>
                <c:ptCount val="5"/>
                <c:pt idx="0">
                  <c:v>2428.6699999999996</c:v>
                </c:pt>
                <c:pt idx="1">
                  <c:v>2982.81</c:v>
                </c:pt>
                <c:pt idx="2">
                  <c:v>2690.4700000000003</c:v>
                </c:pt>
                <c:pt idx="3">
                  <c:v>2505.0400000000004</c:v>
                </c:pt>
                <c:pt idx="4">
                  <c:v>3920.45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D-44E6-936F-850BA883D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708616"/>
        <c:axId val="877785096"/>
      </c:barChart>
      <c:catAx>
        <c:axId val="86470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5096"/>
        <c:crosses val="autoZero"/>
        <c:auto val="1"/>
        <c:lblAlgn val="ctr"/>
        <c:lblOffset val="100"/>
        <c:noMultiLvlLbl val="0"/>
      </c:catAx>
      <c:valAx>
        <c:axId val="87778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0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10</xdr:row>
      <xdr:rowOff>114300</xdr:rowOff>
    </xdr:from>
    <xdr:to>
      <xdr:col>10</xdr:col>
      <xdr:colOff>657225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70511-BA74-F3FB-5893-63331A7E5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10</xdr:row>
      <xdr:rowOff>114300</xdr:rowOff>
    </xdr:from>
    <xdr:to>
      <xdr:col>8</xdr:col>
      <xdr:colOff>314325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F2C3F-FA1D-0FB7-3639-0A68CBE27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594086458332" createdVersion="8" refreshedVersion="8" minRefreshableVersion="3" recordCount="60" xr:uid="{A3FB815D-35EF-4A15-A98D-53B35EFE9A93}">
  <cacheSource type="worksheet">
    <worksheetSource name="Table5"/>
  </cacheSource>
  <cacheFields count="19">
    <cacheField name="Claim_ID" numFmtId="0">
      <sharedItems/>
    </cacheField>
    <cacheField name="Patient_ID" numFmtId="0">
      <sharedItems/>
    </cacheField>
    <cacheField name="Provider_ID" numFmtId="0">
      <sharedItems/>
    </cacheField>
    <cacheField name="Service_Date" numFmtId="164">
      <sharedItems containsDate="1" containsMixedTypes="1" minDate="2026-01-05T00:00:00" maxDate="2026-04-12T00:00:00"/>
    </cacheField>
    <cacheField name="CPT_Code" numFmtId="0">
      <sharedItems/>
    </cacheField>
    <cacheField name="ICD10_Code" numFmtId="0">
      <sharedItems/>
    </cacheField>
    <cacheField name="Billed_Amount" numFmtId="165">
      <sharedItems containsMixedTypes="1" containsNumber="1" minValue="54.55" maxValue="1742.87"/>
    </cacheField>
    <cacheField name="Allowed_Amount" numFmtId="165">
      <sharedItems containsMixedTypes="1" containsNumber="1" minValue="33.130000000000003" maxValue="1263.5999999999999"/>
    </cacheField>
    <cacheField name="Paid_Amount" numFmtId="165">
      <sharedItems containsMixedTypes="1" containsNumber="1" minValue="0" maxValue="1263.5999999999999"/>
    </cacheField>
    <cacheField name="Claim_Status" numFmtId="0">
      <sharedItems count="4">
        <s v="Partial"/>
        <s v="Denied"/>
        <s v="Paid"/>
        <s v="Pending"/>
      </sharedItems>
    </cacheField>
    <cacheField name="Denial_Reason" numFmtId="0">
      <sharedItems containsBlank="1" count="7">
        <s v="Column1"/>
        <s v="Duplicate Claim"/>
        <s v="Medical Necessity"/>
        <m/>
        <s v="Coding Error"/>
        <s v="Missing Prior Authorization"/>
        <s v="Timely Filing"/>
      </sharedItems>
    </cacheField>
    <cacheField name="Payer" numFmtId="0">
      <sharedItems count="5">
        <s v="Blue Shield"/>
        <s v="Medicare"/>
        <s v="Cigna"/>
        <s v="Aetna"/>
        <s v="UnitedHealthcare"/>
      </sharedItems>
    </cacheField>
    <cacheField name="Prior_Auth" numFmtId="0">
      <sharedItems/>
    </cacheField>
    <cacheField name="Eligibility_Verified" numFmtId="0">
      <sharedItems/>
    </cacheField>
    <cacheField name="Submission_Date" numFmtId="164">
      <sharedItems containsDate="1" containsMixedTypes="1" minDate="2026-01-10T00:00:00" maxDate="2026-04-18T00:00:00"/>
    </cacheField>
    <cacheField name="Processed_Date" numFmtId="164">
      <sharedItems containsDate="1" containsBlank="1" containsMixedTypes="1" minDate="2026-01-23T00:00:00" maxDate="2026-05-27T00:00:00"/>
    </cacheField>
    <cacheField name="Outstanding_Balance" numFmtId="4">
      <sharedItems containsSemiMixedTypes="0" containsString="0" containsNumber="1" minValue="0" maxValue="1224.69"/>
    </cacheField>
    <cacheField name="Days_to_Process" numFmtId="0">
      <sharedItems containsMixedTypes="1" containsNumber="1" containsInteger="1" minValue="7" maxValue="48"/>
    </cacheField>
    <cacheField name="Provider_Specialty" numFmtId="0">
      <sharedItems count="6">
        <s v="Primary Care"/>
        <s v="Neurology"/>
        <s v="Diagnostic Imaging"/>
        <s v="Sports Medicine"/>
        <s v="Orthopedics"/>
        <s v="Internal Medicin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M-1001"/>
    <s v="PT-2008"/>
    <s v="P001"/>
    <s v="04/06/2026"/>
    <s v="73030"/>
    <s v="M25.512"/>
    <s v="$229.11"/>
    <s v="$171.57"/>
    <s v="$92.62"/>
    <x v="0"/>
    <x v="0"/>
    <x v="0"/>
    <s v="Not Required"/>
    <s v="Yes"/>
    <s v="04/07/2026"/>
    <s v="04/17/2026"/>
    <n v="78.949999999999989"/>
    <n v="10"/>
    <x v="0"/>
  </r>
  <r>
    <s v="CLM-1053"/>
    <s v="PT-2018"/>
    <s v="P005"/>
    <d v="2026-02-03T00:00:00"/>
    <s v="73721"/>
    <s v="M25.561"/>
    <n v="1513.09"/>
    <n v="961.11"/>
    <n v="0"/>
    <x v="1"/>
    <x v="1"/>
    <x v="1"/>
    <s v="Not Required"/>
    <s v="Yes"/>
    <d v="2026-02-11T00:00:00"/>
    <d v="2026-03-05T00:00:00"/>
    <n v="961.11"/>
    <n v="22"/>
    <x v="0"/>
  </r>
  <r>
    <s v="CLM-1051"/>
    <s v="PT-2034"/>
    <s v="P004"/>
    <d v="2026-01-12T00:00:00"/>
    <s v="73721"/>
    <s v="M25.551"/>
    <n v="1315.29"/>
    <n v="992.66"/>
    <n v="0"/>
    <x v="1"/>
    <x v="2"/>
    <x v="2"/>
    <s v="Not Required"/>
    <s v="Yes"/>
    <d v="2026-01-13T00:00:00"/>
    <d v="2026-01-23T00:00:00"/>
    <n v="992.66"/>
    <n v="10"/>
    <x v="1"/>
  </r>
  <r>
    <s v="CLM-1004"/>
    <s v="PT-2025"/>
    <s v="P002"/>
    <d v="2026-03-13T00:00:00"/>
    <s v="73030"/>
    <s v="R07.9"/>
    <n v="307.02"/>
    <n v="227.27"/>
    <n v="227.27"/>
    <x v="2"/>
    <x v="3"/>
    <x v="3"/>
    <s v="Yes"/>
    <s v="Yes"/>
    <d v="2026-03-15T00:00:00"/>
    <d v="2026-04-03T00:00:00"/>
    <n v="0"/>
    <n v="19"/>
    <x v="2"/>
  </r>
  <r>
    <s v="CLM-1005"/>
    <s v="PT-2025"/>
    <s v="P005"/>
    <d v="2026-03-01T00:00:00"/>
    <s v="97110"/>
    <s v="R51.9"/>
    <n v="144.41999999999999"/>
    <n v="87.6"/>
    <n v="87.6"/>
    <x v="2"/>
    <x v="3"/>
    <x v="0"/>
    <s v="Not Required"/>
    <s v="Yes"/>
    <d v="2026-03-04T00:00:00"/>
    <d v="2026-04-12T00:00:00"/>
    <n v="0"/>
    <n v="39"/>
    <x v="0"/>
  </r>
  <r>
    <s v="CLM-1018"/>
    <s v="PT-2035"/>
    <s v="P001"/>
    <d v="2026-01-13T00:00:00"/>
    <s v="73721"/>
    <s v="R51.9"/>
    <n v="1245.45"/>
    <n v="846.86"/>
    <n v="0"/>
    <x v="1"/>
    <x v="4"/>
    <x v="4"/>
    <s v="Yes"/>
    <s v="Yes"/>
    <d v="2026-01-20T00:00:00"/>
    <d v="2026-02-10T00:00:00"/>
    <n v="846.86"/>
    <n v="21"/>
    <x v="0"/>
  </r>
  <r>
    <s v="CLM-1007"/>
    <s v="PT-2014"/>
    <s v="P006"/>
    <d v="2026-01-29T00:00:00"/>
    <s v="85025"/>
    <s v="M25.551"/>
    <n v="110.77"/>
    <n v="80.150000000000006"/>
    <n v="80.150000000000006"/>
    <x v="2"/>
    <x v="3"/>
    <x v="2"/>
    <s v="Yes"/>
    <s v="Yes"/>
    <d v="2026-02-07T00:00:00"/>
    <d v="2026-03-18T00:00:00"/>
    <n v="0"/>
    <n v="39"/>
    <x v="3"/>
  </r>
  <r>
    <s v="CLM-1008"/>
    <s v="PT-2028"/>
    <s v="P007"/>
    <d v="2026-02-17T00:00:00"/>
    <s v="73721"/>
    <s v="R51.9"/>
    <n v="1333.1"/>
    <n v="765.93"/>
    <n v="765.93"/>
    <x v="2"/>
    <x v="3"/>
    <x v="4"/>
    <s v="Yes"/>
    <s v="Yes"/>
    <d v="2026-02-20T00:00:00"/>
    <d v="2026-04-09T00:00:00"/>
    <n v="0"/>
    <n v="48"/>
    <x v="4"/>
  </r>
  <r>
    <s v="CLM-1009"/>
    <s v="PT-2005"/>
    <s v="P007"/>
    <d v="2026-02-19T00:00:00"/>
    <s v="85025"/>
    <s v="M54.2"/>
    <n v="117.69"/>
    <n v="92.08"/>
    <n v="92.08"/>
    <x v="2"/>
    <x v="3"/>
    <x v="2"/>
    <s v="Not Required"/>
    <s v="Yes"/>
    <d v="2026-02-28T00:00:00"/>
    <d v="2026-03-22T00:00:00"/>
    <n v="0"/>
    <n v="22"/>
    <x v="4"/>
  </r>
  <r>
    <s v="CLM-1002"/>
    <s v="PT-2015"/>
    <s v="P001"/>
    <d v="2026-03-14T00:00:00"/>
    <s v="73721"/>
    <s v="M25.551"/>
    <n v="1087.3699999999999"/>
    <n v="771.06"/>
    <n v="0"/>
    <x v="1"/>
    <x v="1"/>
    <x v="2"/>
    <s v="Yes"/>
    <s v="Yes"/>
    <d v="2026-03-21T00:00:00"/>
    <d v="2026-04-16T00:00:00"/>
    <n v="771.06"/>
    <n v="26"/>
    <x v="0"/>
  </r>
  <r>
    <s v="CLM-1011"/>
    <s v="PT-2013"/>
    <s v="P003"/>
    <d v="2026-02-18T00:00:00"/>
    <s v="72148"/>
    <s v="M54.50"/>
    <n v="1519"/>
    <n v="1035.8399999999999"/>
    <n v="1035.8399999999999"/>
    <x v="2"/>
    <x v="3"/>
    <x v="3"/>
    <s v="No"/>
    <s v="Yes"/>
    <d v="2026-02-23T00:00:00"/>
    <d v="2026-03-15T00:00:00"/>
    <n v="0"/>
    <n v="20"/>
    <x v="4"/>
  </r>
  <r>
    <s v="CLM-1012"/>
    <s v="PT-2016"/>
    <s v="P002"/>
    <d v="2026-01-12T00:00:00"/>
    <s v="85025"/>
    <s v="M25.561"/>
    <n v="118.24"/>
    <n v="82.04"/>
    <n v="82.04"/>
    <x v="2"/>
    <x v="3"/>
    <x v="2"/>
    <s v="Not Required"/>
    <s v="Yes"/>
    <d v="2026-01-21T00:00:00"/>
    <d v="2026-02-05T00:00:00"/>
    <n v="0"/>
    <n v="15"/>
    <x v="2"/>
  </r>
  <r>
    <s v="CLM-1013"/>
    <s v="PT-2034"/>
    <s v="P007"/>
    <d v="2026-01-29T00:00:00"/>
    <s v="73721"/>
    <s v="M54.2"/>
    <n v="1239.1400000000001"/>
    <n v="906.25"/>
    <n v="906.25"/>
    <x v="2"/>
    <x v="3"/>
    <x v="3"/>
    <s v="Not Required"/>
    <s v="Yes"/>
    <d v="2026-02-02T00:00:00"/>
    <d v="2026-02-21T00:00:00"/>
    <n v="0"/>
    <n v="19"/>
    <x v="4"/>
  </r>
  <r>
    <s v="CLM-1014"/>
    <s v="PT-2022"/>
    <s v="P001"/>
    <d v="2026-03-18T00:00:00"/>
    <s v="73721"/>
    <s v="M25.512"/>
    <n v="906.11"/>
    <n v="671.53"/>
    <n v="671.53"/>
    <x v="2"/>
    <x v="3"/>
    <x v="1"/>
    <s v="Yes"/>
    <s v="No"/>
    <d v="2026-03-24T00:00:00"/>
    <d v="2026-04-02T00:00:00"/>
    <n v="0"/>
    <n v="9"/>
    <x v="0"/>
  </r>
  <r>
    <s v="CLM-1020"/>
    <s v="PT-2031"/>
    <s v="P003"/>
    <d v="2026-01-09T00:00:00"/>
    <s v="70551"/>
    <s v="R51.9"/>
    <n v="961.67"/>
    <n v="546.55999999999995"/>
    <n v="0"/>
    <x v="1"/>
    <x v="5"/>
    <x v="1"/>
    <s v="No"/>
    <s v="Yes"/>
    <d v="2026-01-13T00:00:00"/>
    <d v="2026-02-24T00:00:00"/>
    <n v="546.55999999999995"/>
    <n v="42"/>
    <x v="4"/>
  </r>
  <r>
    <s v="CLM-1016"/>
    <s v="PT-2007"/>
    <s v="P007"/>
    <d v="2026-02-16T00:00:00"/>
    <s v="93000"/>
    <s v="M25.551"/>
    <n v="132.03"/>
    <n v="98.61"/>
    <n v="52.38"/>
    <x v="0"/>
    <x v="3"/>
    <x v="0"/>
    <s v="Not Required"/>
    <s v="Yes"/>
    <d v="2026-02-22T00:00:00"/>
    <d v="2026-03-05T00:00:00"/>
    <n v="46.23"/>
    <n v="11"/>
    <x v="4"/>
  </r>
  <r>
    <s v="CLM-1017"/>
    <s v="PT-2013"/>
    <s v="P004"/>
    <d v="2026-03-11T00:00:00"/>
    <s v="85025"/>
    <s v="R51.9"/>
    <n v="73.75"/>
    <n v="46.11"/>
    <n v="46.11"/>
    <x v="2"/>
    <x v="3"/>
    <x v="3"/>
    <s v="Yes"/>
    <s v="Yes"/>
    <d v="2026-03-20T00:00:00"/>
    <d v="2026-03-31T00:00:00"/>
    <n v="0"/>
    <n v="11"/>
    <x v="1"/>
  </r>
  <r>
    <s v="CLM-1010"/>
    <s v="PT-2008"/>
    <s v="P005"/>
    <d v="2026-02-26T00:00:00"/>
    <s v="72148"/>
    <s v="M25.562"/>
    <n v="953.08"/>
    <n v="710.01"/>
    <n v="0"/>
    <x v="1"/>
    <x v="4"/>
    <x v="1"/>
    <s v="Not Required"/>
    <s v="Yes"/>
    <d v="2026-03-03T00:00:00"/>
    <d v="2026-04-17T00:00:00"/>
    <n v="710.01"/>
    <n v="45"/>
    <x v="0"/>
  </r>
  <r>
    <s v="CLM-1019"/>
    <s v="PT-2019"/>
    <s v="P007"/>
    <d v="2026-04-01T00:00:00"/>
    <s v="85025"/>
    <s v="R51.9"/>
    <n v="55.19"/>
    <n v="33.6"/>
    <n v="33.6"/>
    <x v="2"/>
    <x v="3"/>
    <x v="3"/>
    <s v="Not Required"/>
    <s v="Yes"/>
    <d v="2026-04-07T00:00:00"/>
    <d v="2026-04-15T00:00:00"/>
    <n v="0"/>
    <n v="8"/>
    <x v="4"/>
  </r>
  <r>
    <s v="CLM-1006"/>
    <s v="PT-2011"/>
    <s v="P008"/>
    <d v="2026-02-19T00:00:00"/>
    <s v="73030"/>
    <s v="M25.512"/>
    <n v="330.62"/>
    <n v="257.08"/>
    <n v="0"/>
    <x v="1"/>
    <x v="6"/>
    <x v="3"/>
    <s v="Yes"/>
    <s v="Yes"/>
    <d v="2026-02-26T00:00:00"/>
    <d v="2026-03-20T00:00:00"/>
    <n v="257.08"/>
    <n v="22"/>
    <x v="5"/>
  </r>
  <r>
    <s v="CLM-1021"/>
    <s v="PT-2003"/>
    <s v="P002"/>
    <d v="2026-02-24T00:00:00"/>
    <s v="97110"/>
    <s v="M54.2"/>
    <n v="124.51"/>
    <n v="92.56"/>
    <n v="92.56"/>
    <x v="2"/>
    <x v="3"/>
    <x v="2"/>
    <s v="No"/>
    <s v="Yes"/>
    <d v="2026-03-01T00:00:00"/>
    <d v="2026-04-04T00:00:00"/>
    <n v="0"/>
    <n v="34"/>
    <x v="2"/>
  </r>
  <r>
    <s v="CLM-1022"/>
    <s v="PT-2005"/>
    <s v="P001"/>
    <d v="2026-03-01T00:00:00"/>
    <s v="70551"/>
    <s v="M25.561"/>
    <n v="1383.87"/>
    <n v="950.15"/>
    <n v="950.15"/>
    <x v="2"/>
    <x v="3"/>
    <x v="2"/>
    <s v="No"/>
    <s v="Yes"/>
    <d v="2026-03-05T00:00:00"/>
    <d v="2026-04-02T00:00:00"/>
    <n v="0"/>
    <n v="28"/>
    <x v="0"/>
  </r>
  <r>
    <s v="CLM-1023"/>
    <s v="PT-2011"/>
    <s v="P008"/>
    <d v="2026-03-12T00:00:00"/>
    <s v="73030"/>
    <s v="M54.50"/>
    <n v="326.93"/>
    <n v="228.77"/>
    <n v="0"/>
    <x v="3"/>
    <x v="3"/>
    <x v="2"/>
    <s v="Yes"/>
    <s v="No"/>
    <d v="2026-03-15T00:00:00"/>
    <m/>
    <n v="228.77"/>
    <s v=""/>
    <x v="5"/>
  </r>
  <r>
    <s v="CLM-1024"/>
    <s v="PT-2008"/>
    <s v="P002"/>
    <d v="2026-04-07T00:00:00"/>
    <s v="72148"/>
    <s v="M54.2"/>
    <n v="1217.67"/>
    <n v="738.97"/>
    <n v="738.97"/>
    <x v="2"/>
    <x v="3"/>
    <x v="4"/>
    <s v="Not Required"/>
    <s v="Yes"/>
    <d v="2026-04-12T00:00:00"/>
    <d v="2026-05-19T00:00:00"/>
    <n v="0"/>
    <n v="37"/>
    <x v="2"/>
  </r>
  <r>
    <s v="CLM-1025"/>
    <s v="PT-2017"/>
    <s v="P001"/>
    <d v="2026-01-13T00:00:00"/>
    <s v="93000"/>
    <s v="M54.2"/>
    <n v="93.97"/>
    <n v="60.15"/>
    <n v="60.15"/>
    <x v="2"/>
    <x v="3"/>
    <x v="4"/>
    <s v="No"/>
    <s v="Yes"/>
    <d v="2026-01-21T00:00:00"/>
    <d v="2026-03-02T00:00:00"/>
    <n v="0"/>
    <n v="40"/>
    <x v="0"/>
  </r>
  <r>
    <s v="CLM-1026"/>
    <s v="PT-2001"/>
    <s v="P002"/>
    <d v="2026-01-11T00:00:00"/>
    <s v="72148"/>
    <s v="M54.50"/>
    <n v="1742.87"/>
    <n v="1232.69"/>
    <n v="1232.69"/>
    <x v="2"/>
    <x v="3"/>
    <x v="2"/>
    <s v="Yes"/>
    <s v="Yes"/>
    <d v="2026-01-17T00:00:00"/>
    <d v="2026-01-24T00:00:00"/>
    <n v="0"/>
    <n v="7"/>
    <x v="2"/>
  </r>
  <r>
    <s v="CLM-1027"/>
    <s v="PT-2014"/>
    <s v="P004"/>
    <d v="2026-03-28T00:00:00"/>
    <s v="70551"/>
    <s v="R07.9"/>
    <n v="1602.1"/>
    <n v="1263.5999999999999"/>
    <n v="1263.5999999999999"/>
    <x v="2"/>
    <x v="3"/>
    <x v="0"/>
    <s v="Not Required"/>
    <s v="Yes"/>
    <d v="2026-04-01T00:00:00"/>
    <d v="2026-04-16T00:00:00"/>
    <n v="0"/>
    <n v="15"/>
    <x v="1"/>
  </r>
  <r>
    <s v="CLM-1028"/>
    <s v="PT-2027"/>
    <s v="P001"/>
    <d v="2026-01-24T00:00:00"/>
    <s v="97110"/>
    <s v="M25.551"/>
    <n v="196.27"/>
    <n v="153.74"/>
    <n v="0"/>
    <x v="1"/>
    <x v="5"/>
    <x v="3"/>
    <s v="No"/>
    <s v="Yes"/>
    <d v="2026-01-26T00:00:00"/>
    <d v="2026-02-24T00:00:00"/>
    <n v="153.74"/>
    <n v="29"/>
    <x v="0"/>
  </r>
  <r>
    <s v="CLM-1029"/>
    <s v="PT-2031"/>
    <s v="P004"/>
    <d v="2026-01-27T00:00:00"/>
    <s v="85025"/>
    <s v="R07.9"/>
    <n v="64.42"/>
    <n v="49.26"/>
    <n v="49.26"/>
    <x v="2"/>
    <x v="3"/>
    <x v="2"/>
    <s v="Yes"/>
    <s v="Yes"/>
    <d v="2026-02-03T00:00:00"/>
    <d v="2026-03-01T00:00:00"/>
    <n v="0"/>
    <n v="26"/>
    <x v="1"/>
  </r>
  <r>
    <s v="CLM-1030"/>
    <s v="PT-2005"/>
    <s v="P005"/>
    <d v="2026-02-15T00:00:00"/>
    <s v="93000"/>
    <s v="R07.9"/>
    <n v="174.53"/>
    <n v="101.43"/>
    <n v="0"/>
    <x v="3"/>
    <x v="3"/>
    <x v="3"/>
    <s v="Yes"/>
    <s v="Yes"/>
    <d v="2026-02-20T00:00:00"/>
    <m/>
    <n v="101.43"/>
    <s v=""/>
    <x v="0"/>
  </r>
  <r>
    <s v="CLM-1031"/>
    <s v="PT-2007"/>
    <s v="P007"/>
    <d v="2026-02-15T00:00:00"/>
    <s v="97110"/>
    <s v="M25.551"/>
    <n v="172.75"/>
    <n v="118.87"/>
    <n v="118.87"/>
    <x v="2"/>
    <x v="3"/>
    <x v="3"/>
    <s v="Not Required"/>
    <s v="Yes"/>
    <d v="2026-02-16T00:00:00"/>
    <d v="2026-03-20T00:00:00"/>
    <n v="0"/>
    <n v="32"/>
    <x v="4"/>
  </r>
  <r>
    <s v="CLM-1032"/>
    <s v="PT-2034"/>
    <s v="P004"/>
    <d v="2026-02-17T00:00:00"/>
    <s v="93000"/>
    <s v="M25.561"/>
    <n v="175.4"/>
    <n v="140.08000000000001"/>
    <n v="94.4"/>
    <x v="0"/>
    <x v="3"/>
    <x v="2"/>
    <s v="Not Required"/>
    <s v="Yes"/>
    <d v="2026-02-22T00:00:00"/>
    <d v="2026-03-31T00:00:00"/>
    <n v="45.680000000000007"/>
    <n v="37"/>
    <x v="1"/>
  </r>
  <r>
    <s v="CLM-1033"/>
    <s v="PT-2027"/>
    <s v="P006"/>
    <d v="2026-02-22T00:00:00"/>
    <s v="73030"/>
    <s v="R51.9"/>
    <n v="222.2"/>
    <n v="162.1"/>
    <n v="162.1"/>
    <x v="2"/>
    <x v="3"/>
    <x v="1"/>
    <s v="Not Required"/>
    <s v="No"/>
    <d v="2026-02-27T00:00:00"/>
    <d v="2026-03-29T00:00:00"/>
    <n v="0"/>
    <n v="30"/>
    <x v="3"/>
  </r>
  <r>
    <s v="CLM-1034"/>
    <s v="PT-2001"/>
    <s v="P005"/>
    <d v="2026-02-07T00:00:00"/>
    <s v="73721"/>
    <s v="M25.551"/>
    <n v="1567.9"/>
    <n v="1119.1600000000001"/>
    <n v="1119.1600000000001"/>
    <x v="2"/>
    <x v="3"/>
    <x v="4"/>
    <s v="No"/>
    <s v="Yes"/>
    <d v="2026-02-11T00:00:00"/>
    <d v="2026-03-20T00:00:00"/>
    <n v="0"/>
    <n v="37"/>
    <x v="0"/>
  </r>
  <r>
    <s v="CLM-1035"/>
    <s v="PT-2011"/>
    <s v="P002"/>
    <d v="2026-02-07T00:00:00"/>
    <s v="97110"/>
    <s v="M25.561"/>
    <n v="198.21"/>
    <n v="149.21"/>
    <n v="62.12"/>
    <x v="0"/>
    <x v="3"/>
    <x v="4"/>
    <s v="Yes"/>
    <s v="Yes"/>
    <d v="2026-02-08T00:00:00"/>
    <d v="2026-02-28T00:00:00"/>
    <n v="87.09"/>
    <n v="20"/>
    <x v="2"/>
  </r>
  <r>
    <s v="CLM-1036"/>
    <s v="PT-2005"/>
    <s v="P008"/>
    <d v="2026-02-24T00:00:00"/>
    <s v="73721"/>
    <s v="M25.551"/>
    <n v="1320.22"/>
    <n v="813.09"/>
    <n v="599.41"/>
    <x v="0"/>
    <x v="3"/>
    <x v="0"/>
    <s v="Yes"/>
    <s v="Yes"/>
    <d v="2026-02-26T00:00:00"/>
    <d v="2026-03-30T00:00:00"/>
    <n v="213.68000000000006"/>
    <n v="32"/>
    <x v="5"/>
  </r>
  <r>
    <s v="CLM-1037"/>
    <s v="PT-2012"/>
    <s v="P008"/>
    <d v="2026-01-08T00:00:00"/>
    <s v="73721"/>
    <s v="M25.561"/>
    <n v="1287.99"/>
    <n v="987.09"/>
    <n v="767.48"/>
    <x v="0"/>
    <x v="3"/>
    <x v="1"/>
    <s v="Not Required"/>
    <s v="Yes"/>
    <d v="2026-01-16T00:00:00"/>
    <d v="2026-03-01T00:00:00"/>
    <n v="219.61"/>
    <n v="44"/>
    <x v="5"/>
  </r>
  <r>
    <s v="CLM-1038"/>
    <s v="PT-2028"/>
    <s v="P008"/>
    <d v="2026-01-22T00:00:00"/>
    <s v="85025"/>
    <s v="M25.562"/>
    <n v="60.74"/>
    <n v="37.46"/>
    <n v="17.14"/>
    <x v="0"/>
    <x v="3"/>
    <x v="2"/>
    <s v="Not Required"/>
    <s v="Yes"/>
    <d v="2026-01-30T00:00:00"/>
    <d v="2026-02-08T00:00:00"/>
    <n v="20.32"/>
    <n v="9"/>
    <x v="5"/>
  </r>
  <r>
    <s v="CLM-1041"/>
    <s v="PT-2001"/>
    <s v="P006"/>
    <d v="2026-02-09T00:00:00"/>
    <s v="93000"/>
    <s v="M25.551"/>
    <n v="138.44"/>
    <n v="103.6"/>
    <n v="0"/>
    <x v="1"/>
    <x v="6"/>
    <x v="3"/>
    <s v="Yes"/>
    <s v="Yes"/>
    <d v="2026-02-16T00:00:00"/>
    <d v="2026-03-24T00:00:00"/>
    <n v="103.6"/>
    <n v="36"/>
    <x v="3"/>
  </r>
  <r>
    <s v="CLM-1040"/>
    <s v="PT-2030"/>
    <s v="P007"/>
    <d v="2026-01-09T00:00:00"/>
    <s v="73721"/>
    <s v="M25.551"/>
    <n v="1231.06"/>
    <n v="932.95"/>
    <n v="0"/>
    <x v="3"/>
    <x v="3"/>
    <x v="4"/>
    <s v="Yes"/>
    <s v="Yes"/>
    <d v="2026-01-16T00:00:00"/>
    <m/>
    <n v="932.95"/>
    <s v=""/>
    <x v="4"/>
  </r>
  <r>
    <s v="CLM-1039"/>
    <s v="PT-2016"/>
    <s v="P005"/>
    <d v="2026-02-13T00:00:00"/>
    <s v="97110"/>
    <s v="M25.561"/>
    <n v="116.6"/>
    <n v="71.41"/>
    <n v="0"/>
    <x v="1"/>
    <x v="2"/>
    <x v="1"/>
    <s v="Not Required"/>
    <s v="Yes"/>
    <d v="2026-02-20T00:00:00"/>
    <d v="2026-03-18T00:00:00"/>
    <n v="71.41"/>
    <n v="26"/>
    <x v="0"/>
  </r>
  <r>
    <s v="CLM-1042"/>
    <s v="PT-2025"/>
    <s v="P006"/>
    <d v="2026-03-28T00:00:00"/>
    <s v="93000"/>
    <s v="R51.9"/>
    <n v="165.65"/>
    <n v="132.22999999999999"/>
    <n v="0"/>
    <x v="3"/>
    <x v="3"/>
    <x v="1"/>
    <s v="Not Required"/>
    <s v="Yes"/>
    <d v="2026-04-04T00:00:00"/>
    <m/>
    <n v="132.22999999999999"/>
    <s v=""/>
    <x v="3"/>
  </r>
  <r>
    <s v="CLM-1043"/>
    <s v="PT-2002"/>
    <s v="P002"/>
    <d v="2026-03-25T00:00:00"/>
    <s v="93000"/>
    <s v="R51.9"/>
    <n v="168.02"/>
    <n v="100.66"/>
    <n v="100.66"/>
    <x v="2"/>
    <x v="3"/>
    <x v="4"/>
    <s v="No"/>
    <s v="Yes"/>
    <d v="2026-03-31T00:00:00"/>
    <d v="2026-04-26T00:00:00"/>
    <n v="0"/>
    <n v="26"/>
    <x v="2"/>
  </r>
  <r>
    <s v="CLM-1044"/>
    <s v="PT-2018"/>
    <s v="P007"/>
    <d v="2026-02-03T00:00:00"/>
    <s v="70551"/>
    <s v="M25.562"/>
    <n v="917.44"/>
    <n v="638.21"/>
    <n v="0"/>
    <x v="3"/>
    <x v="3"/>
    <x v="3"/>
    <s v="No"/>
    <s v="Yes"/>
    <d v="2026-02-05T00:00:00"/>
    <m/>
    <n v="638.21"/>
    <s v=""/>
    <x v="4"/>
  </r>
  <r>
    <s v="CLM-1045"/>
    <s v="PT-2002"/>
    <s v="P004"/>
    <d v="2026-01-27T00:00:00"/>
    <s v="99213"/>
    <s v="R51.9"/>
    <n v="148.63"/>
    <n v="100.75"/>
    <n v="100.75"/>
    <x v="2"/>
    <x v="3"/>
    <x v="0"/>
    <s v="Yes"/>
    <s v="Yes"/>
    <d v="2026-02-01T00:00:00"/>
    <d v="2026-03-01T00:00:00"/>
    <n v="0"/>
    <n v="28"/>
    <x v="1"/>
  </r>
  <r>
    <s v="CLM-1046"/>
    <s v="PT-2008"/>
    <s v="P003"/>
    <d v="2026-02-10T00:00:00"/>
    <s v="70551"/>
    <s v="M54.50"/>
    <n v="1736"/>
    <n v="1224.69"/>
    <n v="0"/>
    <x v="3"/>
    <x v="3"/>
    <x v="3"/>
    <s v="No"/>
    <s v="Yes"/>
    <d v="2026-02-14T00:00:00"/>
    <m/>
    <n v="1224.69"/>
    <s v=""/>
    <x v="4"/>
  </r>
  <r>
    <s v="CLM-1047"/>
    <s v="PT-2016"/>
    <s v="P002"/>
    <d v="2026-04-01T00:00:00"/>
    <s v="73030"/>
    <s v="M25.561"/>
    <n v="355.17"/>
    <n v="249.61"/>
    <n v="249.61"/>
    <x v="2"/>
    <x v="3"/>
    <x v="1"/>
    <s v="Not Required"/>
    <s v="Yes"/>
    <d v="2026-04-07T00:00:00"/>
    <d v="2026-04-16T00:00:00"/>
    <n v="0"/>
    <n v="9"/>
    <x v="2"/>
  </r>
  <r>
    <s v="CLM-1003"/>
    <s v="PT-2010"/>
    <s v="P004"/>
    <d v="2026-04-09T00:00:00"/>
    <s v="97110"/>
    <s v="M25.561"/>
    <n v="111.13"/>
    <n v="64.02"/>
    <n v="0"/>
    <x v="1"/>
    <x v="4"/>
    <x v="3"/>
    <s v="Not Required"/>
    <s v="Yes"/>
    <d v="2026-04-17T00:00:00"/>
    <d v="2026-05-26T00:00:00"/>
    <n v="64.02"/>
    <n v="39"/>
    <x v="1"/>
  </r>
  <r>
    <s v="CLM-1049"/>
    <s v="PT-2018"/>
    <s v="P008"/>
    <d v="2026-03-02T00:00:00"/>
    <s v="93000"/>
    <s v="M54.2"/>
    <n v="119.01"/>
    <n v="73.34"/>
    <n v="0"/>
    <x v="3"/>
    <x v="3"/>
    <x v="4"/>
    <s v="No"/>
    <s v="Yes"/>
    <d v="2026-03-06T00:00:00"/>
    <m/>
    <n v="73.34"/>
    <s v=""/>
    <x v="5"/>
  </r>
  <r>
    <s v="CLM-1059"/>
    <s v="PT-2019"/>
    <s v="P005"/>
    <d v="2026-04-01T00:00:00"/>
    <s v="85025"/>
    <s v="M25.561"/>
    <n v="94.99"/>
    <n v="75.94"/>
    <n v="0"/>
    <x v="1"/>
    <x v="1"/>
    <x v="1"/>
    <s v="Not Required"/>
    <s v="Yes"/>
    <d v="2026-04-08T00:00:00"/>
    <d v="2026-04-20T00:00:00"/>
    <n v="75.94"/>
    <n v="12"/>
    <x v="0"/>
  </r>
  <r>
    <s v="CLM-1015"/>
    <s v="PT-2016"/>
    <s v="P005"/>
    <d v="2026-03-28T00:00:00"/>
    <s v="85025"/>
    <s v="M25.512"/>
    <n v="83.14"/>
    <n v="61.96"/>
    <n v="0"/>
    <x v="1"/>
    <x v="2"/>
    <x v="3"/>
    <s v="Not Required"/>
    <s v="Yes"/>
    <d v="2026-04-04T00:00:00"/>
    <d v="2026-04-21T00:00:00"/>
    <n v="61.96"/>
    <n v="17"/>
    <x v="0"/>
  </r>
  <r>
    <s v="CLM-1052"/>
    <s v="PT-2015"/>
    <s v="P007"/>
    <d v="2026-03-31T00:00:00"/>
    <s v="73721"/>
    <s v="M54.2"/>
    <n v="1464.37"/>
    <n v="951.31"/>
    <n v="652.29"/>
    <x v="0"/>
    <x v="3"/>
    <x v="4"/>
    <s v="No"/>
    <s v="Yes"/>
    <d v="2026-04-06T00:00:00"/>
    <d v="2026-05-03T00:00:00"/>
    <n v="299.02"/>
    <n v="27"/>
    <x v="4"/>
  </r>
  <r>
    <s v="CLM-1048"/>
    <s v="PT-2022"/>
    <s v="P001"/>
    <d v="2026-02-24T00:00:00"/>
    <s v="85025"/>
    <s v="M25.561"/>
    <n v="74.680000000000007"/>
    <n v="48.38"/>
    <n v="0"/>
    <x v="1"/>
    <x v="5"/>
    <x v="1"/>
    <s v="No"/>
    <s v="Yes"/>
    <d v="2026-03-03T00:00:00"/>
    <d v="2026-03-19T00:00:00"/>
    <n v="48.38"/>
    <n v="16"/>
    <x v="0"/>
  </r>
  <r>
    <s v="CLM-1054"/>
    <s v="PT-2034"/>
    <s v="P005"/>
    <d v="2026-01-14T00:00:00"/>
    <s v="73721"/>
    <s v="M54.2"/>
    <n v="1093.3599999999999"/>
    <n v="654.32000000000005"/>
    <n v="654.32000000000005"/>
    <x v="2"/>
    <x v="3"/>
    <x v="1"/>
    <s v="Not Required"/>
    <s v="Yes"/>
    <d v="2026-01-15T00:00:00"/>
    <d v="2026-01-23T00:00:00"/>
    <n v="0"/>
    <n v="8"/>
    <x v="0"/>
  </r>
  <r>
    <s v="CLM-1055"/>
    <s v="PT-2019"/>
    <s v="P003"/>
    <d v="2026-03-24T00:00:00"/>
    <s v="85025"/>
    <s v="M25.561"/>
    <n v="109.82"/>
    <n v="77.42"/>
    <n v="60.73"/>
    <x v="0"/>
    <x v="3"/>
    <x v="3"/>
    <s v="No"/>
    <s v="Yes"/>
    <d v="2026-03-29T00:00:00"/>
    <d v="2026-05-03T00:00:00"/>
    <n v="16.690000000000005"/>
    <n v="35"/>
    <x v="4"/>
  </r>
  <r>
    <s v="CLM-1056"/>
    <s v="PT-2005"/>
    <s v="P007"/>
    <d v="2026-03-05T00:00:00"/>
    <s v="70551"/>
    <s v="M54.50"/>
    <n v="1036.55"/>
    <n v="797.12"/>
    <n v="0"/>
    <x v="3"/>
    <x v="3"/>
    <x v="1"/>
    <s v="Yes"/>
    <s v="No"/>
    <d v="2026-03-07T00:00:00"/>
    <m/>
    <n v="797.12"/>
    <s v=""/>
    <x v="4"/>
  </r>
  <r>
    <s v="CLM-1057"/>
    <s v="PT-2027"/>
    <s v="P004"/>
    <d v="2026-04-11T00:00:00"/>
    <s v="93000"/>
    <s v="M25.562"/>
    <n v="171.77"/>
    <n v="108.26"/>
    <n v="68.150000000000006"/>
    <x v="0"/>
    <x v="3"/>
    <x v="0"/>
    <s v="No"/>
    <s v="Yes"/>
    <d v="2026-04-13T00:00:00"/>
    <d v="2026-05-01T00:00:00"/>
    <n v="40.11"/>
    <n v="18"/>
    <x v="1"/>
  </r>
  <r>
    <s v="CLM-1058"/>
    <s v="PT-2017"/>
    <s v="P002"/>
    <d v="2026-01-22T00:00:00"/>
    <s v="73721"/>
    <s v="R51.9"/>
    <n v="1369.19"/>
    <n v="810.92"/>
    <n v="810.92"/>
    <x v="2"/>
    <x v="3"/>
    <x v="0"/>
    <s v="Not Required"/>
    <s v="Yes"/>
    <d v="2026-01-27T00:00:00"/>
    <d v="2026-02-03T00:00:00"/>
    <n v="0"/>
    <n v="7"/>
    <x v="2"/>
  </r>
  <r>
    <s v="CLM-1050"/>
    <s v="PT-2025"/>
    <s v="P006"/>
    <d v="2026-01-05T00:00:00"/>
    <s v="85025"/>
    <s v="R07.9"/>
    <n v="54.55"/>
    <n v="33.130000000000003"/>
    <n v="0"/>
    <x v="1"/>
    <x v="5"/>
    <x v="3"/>
    <s v="No"/>
    <s v="Yes"/>
    <d v="2026-01-10T00:00:00"/>
    <d v="2026-02-19T00:00:00"/>
    <n v="33.130000000000003"/>
    <n v="40"/>
    <x v="3"/>
  </r>
  <r>
    <s v="CLM-1060"/>
    <s v="PT-2015"/>
    <s v="P003"/>
    <d v="2026-02-05T00:00:00"/>
    <s v="72148"/>
    <s v="M25.561"/>
    <n v="1006.66"/>
    <n v="769.1"/>
    <n v="421.17"/>
    <x v="0"/>
    <x v="3"/>
    <x v="4"/>
    <s v="Not Required"/>
    <s v="No"/>
    <d v="2026-02-13T00:00:00"/>
    <d v="2026-03-09T00:00:00"/>
    <n v="347.93"/>
    <n v="2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8313A-1AD5-4F2E-8701-3F4FA45A82EB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 rowPageCount="1" colPageCount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1"/>
        <item h="1" x="2"/>
        <item h="1" x="0"/>
        <item h="1" x="3"/>
        <item t="default"/>
      </items>
    </pivotField>
    <pivotField axis="axisRow" compact="0" outline="0" showAll="0">
      <items count="8">
        <item x="4"/>
        <item x="0"/>
        <item x="1"/>
        <item x="2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</pivotFields>
  <rowFields count="1">
    <field x="10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9" item="0" hier="-1"/>
  </pageFields>
  <dataFields count="1">
    <dataField name="Count of Claim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15E4F-3A14-45B7-912B-392BB02945BB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illed_Amount" fld="6" baseField="0" baseItem="0"/>
    <dataField name="Sum of Paid_Amount" fld="8" baseField="0" baseItem="0"/>
  </dataFields>
  <formats count="2">
    <format dxfId="27">
      <pivotArea field="9" grandRow="1" outline="0">
        <references count="1">
          <reference field="4294967294" count="1" selected="0">
            <x v="0"/>
          </reference>
        </references>
      </pivotArea>
    </format>
    <format dxfId="28">
      <pivotArea field="9" grandRow="1" outline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72CDF-B711-4AFF-9C3F-4E803B6F080B}" name="PivotTable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dataField="1" compact="0" outline="0" showAll="0"/>
    <pivotField axis="axisRow" compact="0" outline="0" showAll="0">
      <items count="7">
        <item x="2"/>
        <item x="5"/>
        <item x="1"/>
        <item x="4"/>
        <item x="0"/>
        <item x="3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ays_to_Process" fld="17" subtotal="average" baseField="0" baseItem="0" numFmtId="2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89C12-3CD3-4C27-B275-D1A626955E7D}" name="Table5" displayName="Table5" ref="A1:S61" totalsRowShown="0" headerRowDxfId="21" dataDxfId="20" tableBorderDxfId="19">
  <autoFilter ref="A1:S61" xr:uid="{62B89C12-3CD3-4C27-B275-D1A626955E7D}"/>
  <sortState xmlns:xlrd2="http://schemas.microsoft.com/office/spreadsheetml/2017/richdata2" ref="A2:R61">
    <sortCondition descending="1" ref="G1:G61"/>
  </sortState>
  <tableColumns count="19">
    <tableColumn id="1" xr3:uid="{EEDD35C4-2E19-4CC0-A3EB-E1CDAD53F3CC}" name="Claim_ID" dataDxfId="18"/>
    <tableColumn id="2" xr3:uid="{E68B47F0-EBDC-4F1A-89D2-30C8B7230D31}" name="Patient_ID" dataDxfId="17"/>
    <tableColumn id="3" xr3:uid="{85D7CF86-D381-4E21-AE95-FD99A9C1B930}" name="Provider_ID" dataDxfId="16"/>
    <tableColumn id="4" xr3:uid="{E702C01D-45A2-47EF-B995-599B90C47073}" name="Service_Date" dataDxfId="15"/>
    <tableColumn id="5" xr3:uid="{665CC38F-B1C2-436C-803D-3B7186515882}" name="CPT_Code" dataDxfId="14"/>
    <tableColumn id="6" xr3:uid="{BD799EA7-DA38-45A4-95D2-6019C1B6EE32}" name="ICD10_Code" dataDxfId="13"/>
    <tableColumn id="7" xr3:uid="{02F91250-8AA7-4676-B87B-2E31FFBD1611}" name="Billed_Amount" dataDxfId="12"/>
    <tableColumn id="8" xr3:uid="{6BF2C7E1-D189-4D4D-9813-DFB8720DC9B9}" name="Allowed_Amount" dataDxfId="11"/>
    <tableColumn id="9" xr3:uid="{D15439A2-8F2C-4487-A6E4-DE575E395EAA}" name="Paid_Amount" dataDxfId="10"/>
    <tableColumn id="10" xr3:uid="{D84BF275-5C10-44CB-B1BF-B6F35AB051AF}" name="Claim_Status" dataDxfId="9"/>
    <tableColumn id="11" xr3:uid="{8E540ECD-1ED0-43A7-BB69-21EE0C3D7BCF}" name="Denial_Reason" dataDxfId="8"/>
    <tableColumn id="12" xr3:uid="{8B043DFA-4A79-4646-AB0D-0B5894F1470E}" name="Payer" dataDxfId="7"/>
    <tableColumn id="13" xr3:uid="{84609833-5CB8-4CC3-9645-DD30BCF27174}" name="Prior_Auth" dataDxfId="6"/>
    <tableColumn id="14" xr3:uid="{888EF98F-4302-451B-B13C-B60D96BC8BA4}" name="Eligibility_Verified" dataDxfId="5"/>
    <tableColumn id="15" xr3:uid="{E9628302-3965-4CC0-B4FF-7EB013A3C14A}" name="Submission_Date" dataDxfId="4"/>
    <tableColumn id="16" xr3:uid="{50A99E2E-AECF-458E-8E57-903BB4BE6C4B}" name="Processed_Date" dataDxfId="3"/>
    <tableColumn id="18" xr3:uid="{3670B030-A2ED-42DF-8167-17D9073EBBC3}" name="Outstanding_Balance" dataDxfId="2">
      <calculatedColumnFormula>H2-I2</calculatedColumnFormula>
    </tableColumn>
    <tableColumn id="19" xr3:uid="{652B94B5-D617-4317-AA4D-7F6793B49EEA}" name="Days_to_Process" dataDxfId="1">
      <calculatedColumnFormula>IF(P2="","",P2-O2)</calculatedColumnFormula>
    </tableColumn>
    <tableColumn id="20" xr3:uid="{ABFAD155-AAFD-4405-8577-D45801F9431D}" name="Provider_Specialty" dataDxfId="0">
      <calculatedColumnFormula>_xlfn.XLOOKUP(C2,Providers!A:A,Providers!C:C,"Not Found")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18" customWidth="1"/>
    <col min="2" max="2" width="90" customWidth="1"/>
  </cols>
  <sheetData>
    <row r="1" spans="1:2" ht="19.149999999999999" customHeight="1">
      <c r="A1" s="26" t="s">
        <v>0</v>
      </c>
      <c r="B1" s="27"/>
    </row>
    <row r="2" spans="1:2" ht="15" customHeight="1">
      <c r="A2" s="1" t="s">
        <v>1</v>
      </c>
      <c r="B2" s="25" t="s">
        <v>2</v>
      </c>
    </row>
    <row r="3" spans="1:2" ht="26.45" customHeight="1">
      <c r="A3" s="1" t="s">
        <v>3</v>
      </c>
      <c r="B3" s="25" t="s">
        <v>4</v>
      </c>
    </row>
    <row r="4" spans="1:2" ht="15" customHeight="1">
      <c r="A4" s="1"/>
      <c r="B4" s="25"/>
    </row>
    <row r="5" spans="1:2" ht="39.6" customHeight="1">
      <c r="A5" s="2" t="s">
        <v>5</v>
      </c>
      <c r="B5" s="2"/>
    </row>
    <row r="6" spans="1:2" ht="15" customHeight="1">
      <c r="A6" s="1" t="s">
        <v>6</v>
      </c>
      <c r="B6" s="25" t="s">
        <v>7</v>
      </c>
    </row>
    <row r="7" spans="1:2" ht="15" customHeight="1">
      <c r="A7" s="1" t="s">
        <v>8</v>
      </c>
      <c r="B7" s="25" t="s">
        <v>9</v>
      </c>
    </row>
    <row r="8" spans="1:2" ht="15" customHeight="1">
      <c r="A8" s="1" t="s">
        <v>10</v>
      </c>
      <c r="B8" s="25" t="s">
        <v>11</v>
      </c>
    </row>
    <row r="9" spans="1:2" ht="15" customHeight="1">
      <c r="A9" s="1" t="s">
        <v>12</v>
      </c>
      <c r="B9" s="25" t="s">
        <v>13</v>
      </c>
    </row>
    <row r="10" spans="1:2" ht="26.45" customHeight="1">
      <c r="A10" s="1" t="s">
        <v>14</v>
      </c>
      <c r="B10" s="25" t="s">
        <v>15</v>
      </c>
    </row>
    <row r="11" spans="1:2" ht="15" customHeight="1">
      <c r="A11" s="1"/>
      <c r="B11" s="25"/>
    </row>
    <row r="12" spans="1:2" ht="15" customHeight="1">
      <c r="A12" s="2" t="s">
        <v>16</v>
      </c>
      <c r="B12" s="2"/>
    </row>
    <row r="13" spans="1:2" ht="15" customHeight="1">
      <c r="A13" s="1" t="s">
        <v>17</v>
      </c>
      <c r="B13" s="25" t="s">
        <v>18</v>
      </c>
    </row>
    <row r="14" spans="1:2" ht="15" customHeight="1">
      <c r="A14" s="1" t="s">
        <v>19</v>
      </c>
      <c r="B14" s="25" t="s">
        <v>20</v>
      </c>
    </row>
    <row r="15" spans="1:2" ht="15" customHeight="1">
      <c r="A15" s="1" t="s">
        <v>21</v>
      </c>
      <c r="B15" s="25" t="s">
        <v>22</v>
      </c>
    </row>
    <row r="16" spans="1:2" ht="15" customHeight="1">
      <c r="A16" s="1"/>
      <c r="B16" s="25"/>
    </row>
    <row r="17" spans="1:2" ht="26.45" customHeight="1">
      <c r="A17" s="2" t="s">
        <v>23</v>
      </c>
      <c r="B17" s="2"/>
    </row>
    <row r="18" spans="1:2" ht="15" customHeight="1">
      <c r="A18" s="1" t="s">
        <v>24</v>
      </c>
      <c r="B18" s="25" t="s">
        <v>25</v>
      </c>
    </row>
    <row r="19" spans="1:2" ht="15" customHeight="1">
      <c r="A19" s="1" t="s">
        <v>26</v>
      </c>
      <c r="B19" s="25" t="s">
        <v>27</v>
      </c>
    </row>
    <row r="20" spans="1:2" ht="15" customHeight="1">
      <c r="A20" s="1" t="s">
        <v>28</v>
      </c>
      <c r="B20" s="25" t="s">
        <v>29</v>
      </c>
    </row>
    <row r="21" spans="1:2" ht="15" customHeight="1">
      <c r="A21" s="1"/>
      <c r="B21" s="25"/>
    </row>
    <row r="22" spans="1:2" ht="15" customHeight="1">
      <c r="A22" s="2" t="s">
        <v>30</v>
      </c>
      <c r="B22" s="2"/>
    </row>
    <row r="23" spans="1:2" ht="15" customHeight="1">
      <c r="A23" s="1" t="s">
        <v>31</v>
      </c>
      <c r="B23" s="25" t="s">
        <v>32</v>
      </c>
    </row>
    <row r="24" spans="1:2" ht="15" customHeight="1">
      <c r="A24" s="1" t="s">
        <v>33</v>
      </c>
      <c r="B24" s="25" t="s">
        <v>34</v>
      </c>
    </row>
    <row r="25" spans="1:2" ht="15" customHeight="1">
      <c r="A25" s="1" t="s">
        <v>35</v>
      </c>
      <c r="B25" s="25" t="s">
        <v>36</v>
      </c>
    </row>
    <row r="26" spans="1:2" ht="15" customHeight="1">
      <c r="A26" s="1" t="s">
        <v>37</v>
      </c>
      <c r="B26" s="25" t="s">
        <v>38</v>
      </c>
    </row>
    <row r="27" spans="1:2" ht="15" customHeight="1">
      <c r="A27" s="1"/>
      <c r="B27" s="25"/>
    </row>
    <row r="28" spans="1:2" ht="26.45" customHeight="1">
      <c r="A28" s="2" t="s">
        <v>39</v>
      </c>
      <c r="B28" s="2"/>
    </row>
    <row r="29" spans="1:2" ht="15" customHeight="1">
      <c r="A29" s="1" t="s">
        <v>40</v>
      </c>
      <c r="B29" s="25" t="s">
        <v>41</v>
      </c>
    </row>
    <row r="30" spans="1:2" ht="15" customHeight="1">
      <c r="A30" s="1" t="s">
        <v>42</v>
      </c>
      <c r="B30" s="25" t="s">
        <v>43</v>
      </c>
    </row>
    <row r="31" spans="1:2" ht="15" customHeight="1">
      <c r="A31" s="1" t="s">
        <v>44</v>
      </c>
      <c r="B31" s="25" t="s">
        <v>45</v>
      </c>
    </row>
    <row r="32" spans="1:2" ht="15" customHeight="1">
      <c r="A32" s="3"/>
      <c r="B32" s="3"/>
    </row>
    <row r="33" spans="1:2" ht="15" customHeight="1">
      <c r="A33" s="1" t="s">
        <v>46</v>
      </c>
      <c r="B33" s="25"/>
    </row>
    <row r="34" spans="1:2" ht="15" customHeight="1">
      <c r="A34" s="1" t="s">
        <v>47</v>
      </c>
      <c r="B34" s="25" t="s">
        <v>48</v>
      </c>
    </row>
    <row r="35" spans="1:2" ht="15" customHeight="1">
      <c r="A35" s="1" t="s">
        <v>49</v>
      </c>
      <c r="B35" s="25" t="s">
        <v>50</v>
      </c>
    </row>
    <row r="36" spans="1:2" ht="15" customHeight="1">
      <c r="A36" s="1" t="s">
        <v>51</v>
      </c>
      <c r="B36" s="25" t="s">
        <v>52</v>
      </c>
    </row>
    <row r="37" spans="1:2">
      <c r="A37" t="s">
        <v>53</v>
      </c>
      <c r="B37" t="s">
        <v>54</v>
      </c>
    </row>
    <row r="39" spans="1:2">
      <c r="A39" t="s">
        <v>55</v>
      </c>
      <c r="B39" t="s">
        <v>56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topLeftCell="L1" workbookViewId="0">
      <selection activeCell="S3" sqref="S3"/>
    </sheetView>
  </sheetViews>
  <sheetFormatPr defaultRowHeight="14.25" customHeight="1"/>
  <cols>
    <col min="1" max="1" width="14" customWidth="1"/>
    <col min="2" max="2" width="17.5" customWidth="1"/>
    <col min="3" max="3" width="21.25" customWidth="1"/>
    <col min="4" max="4" width="23.75" customWidth="1"/>
    <col min="5" max="5" width="19" customWidth="1"/>
    <col min="6" max="6" width="18.25" customWidth="1"/>
    <col min="7" max="7" width="19.5" customWidth="1"/>
    <col min="8" max="8" width="21.375" customWidth="1"/>
    <col min="9" max="9" width="17.125" customWidth="1"/>
    <col min="10" max="10" width="18.625" customWidth="1"/>
    <col min="11" max="11" width="28" customWidth="1"/>
    <col min="12" max="13" width="18" customWidth="1"/>
    <col min="14" max="14" width="23.375" customWidth="1"/>
    <col min="15" max="15" width="22.375" customWidth="1"/>
    <col min="16" max="16" width="20.5" customWidth="1"/>
    <col min="17" max="17" width="50.75" customWidth="1"/>
    <col min="18" max="18" width="37.25" customWidth="1"/>
    <col min="19" max="19" width="23.5" customWidth="1"/>
  </cols>
  <sheetData>
    <row r="1" spans="1:19" ht="1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15" t="s">
        <v>72</v>
      </c>
      <c r="Q1" s="16" t="s">
        <v>73</v>
      </c>
      <c r="R1" s="16" t="s">
        <v>74</v>
      </c>
      <c r="S1" s="16" t="s">
        <v>75</v>
      </c>
    </row>
    <row r="2" spans="1:19" ht="15">
      <c r="A2" s="7" t="s">
        <v>76</v>
      </c>
      <c r="B2" s="7" t="s">
        <v>77</v>
      </c>
      <c r="C2" s="7" t="s">
        <v>78</v>
      </c>
      <c r="D2" s="8" t="s">
        <v>79</v>
      </c>
      <c r="E2" s="7" t="s">
        <v>80</v>
      </c>
      <c r="F2" s="7" t="s">
        <v>81</v>
      </c>
      <c r="G2" s="9" t="s">
        <v>82</v>
      </c>
      <c r="H2" s="13" t="s">
        <v>83</v>
      </c>
      <c r="I2" s="9" t="s">
        <v>84</v>
      </c>
      <c r="J2" s="7" t="s">
        <v>85</v>
      </c>
      <c r="K2" s="7" t="s">
        <v>86</v>
      </c>
      <c r="L2" s="7" t="s">
        <v>87</v>
      </c>
      <c r="M2" s="7" t="s">
        <v>88</v>
      </c>
      <c r="N2" s="7" t="s">
        <v>89</v>
      </c>
      <c r="O2" s="8" t="s">
        <v>90</v>
      </c>
      <c r="P2" s="8" t="s">
        <v>91</v>
      </c>
      <c r="Q2" s="17">
        <f>H2-I2</f>
        <v>78.949999999999989</v>
      </c>
      <c r="R2" s="18">
        <f t="shared" ref="R2:R33" si="0">IF(P2="","",P2-O2)</f>
        <v>10</v>
      </c>
      <c r="S2" s="18" t="str">
        <f>_xlfn.XLOOKUP(C2,Providers!A:A,Providers!C:C,"Not Found")</f>
        <v>Primary Care</v>
      </c>
    </row>
    <row r="3" spans="1:19">
      <c r="A3" s="10" t="s">
        <v>92</v>
      </c>
      <c r="B3" s="10" t="s">
        <v>93</v>
      </c>
      <c r="C3" s="10" t="s">
        <v>94</v>
      </c>
      <c r="D3" s="11">
        <v>46056</v>
      </c>
      <c r="E3" s="10" t="s">
        <v>95</v>
      </c>
      <c r="F3" s="10" t="s">
        <v>96</v>
      </c>
      <c r="G3" s="12">
        <v>1513.09</v>
      </c>
      <c r="H3" s="14">
        <v>961.11</v>
      </c>
      <c r="I3" s="12">
        <v>0</v>
      </c>
      <c r="J3" s="10" t="s">
        <v>97</v>
      </c>
      <c r="K3" s="10" t="s">
        <v>98</v>
      </c>
      <c r="L3" s="10" t="s">
        <v>99</v>
      </c>
      <c r="M3" s="10" t="s">
        <v>88</v>
      </c>
      <c r="N3" s="10" t="s">
        <v>89</v>
      </c>
      <c r="O3" s="11">
        <v>46064</v>
      </c>
      <c r="P3" s="11">
        <v>46086</v>
      </c>
      <c r="Q3" s="17">
        <f>H3-I3</f>
        <v>961.11</v>
      </c>
      <c r="R3" s="18">
        <f>IF(P3="","",P3-O3)</f>
        <v>22</v>
      </c>
      <c r="S3" s="18" t="str">
        <f>_xlfn.XLOOKUP(C3,Providers!A:A,Providers!C:C,"Not Found")</f>
        <v>Primary Care</v>
      </c>
    </row>
    <row r="4" spans="1:19">
      <c r="A4" s="10" t="s">
        <v>100</v>
      </c>
      <c r="B4" s="10" t="s">
        <v>101</v>
      </c>
      <c r="C4" s="10" t="s">
        <v>102</v>
      </c>
      <c r="D4" s="11">
        <v>46034</v>
      </c>
      <c r="E4" s="10" t="s">
        <v>95</v>
      </c>
      <c r="F4" s="10" t="s">
        <v>103</v>
      </c>
      <c r="G4" s="12">
        <v>1315.29</v>
      </c>
      <c r="H4" s="14">
        <v>992.66</v>
      </c>
      <c r="I4" s="12">
        <v>0</v>
      </c>
      <c r="J4" s="10" t="s">
        <v>97</v>
      </c>
      <c r="K4" s="10" t="s">
        <v>104</v>
      </c>
      <c r="L4" s="10" t="s">
        <v>105</v>
      </c>
      <c r="M4" s="10" t="s">
        <v>88</v>
      </c>
      <c r="N4" s="10" t="s">
        <v>89</v>
      </c>
      <c r="O4" s="11">
        <v>46035</v>
      </c>
      <c r="P4" s="11">
        <v>46045</v>
      </c>
      <c r="Q4" s="17">
        <f>H4-I4</f>
        <v>992.66</v>
      </c>
      <c r="R4" s="18">
        <f>IF(P4="","",P4-O4)</f>
        <v>10</v>
      </c>
      <c r="S4" s="18" t="str">
        <f>_xlfn.XLOOKUP(C4,Providers!A:A,Providers!C:C,"Not Found")</f>
        <v>Neurology</v>
      </c>
    </row>
    <row r="5" spans="1:19">
      <c r="A5" s="10" t="s">
        <v>106</v>
      </c>
      <c r="B5" s="10" t="s">
        <v>107</v>
      </c>
      <c r="C5" s="10" t="s">
        <v>108</v>
      </c>
      <c r="D5" s="11">
        <v>46094</v>
      </c>
      <c r="E5" s="10" t="s">
        <v>80</v>
      </c>
      <c r="F5" s="10" t="s">
        <v>109</v>
      </c>
      <c r="G5" s="12">
        <v>307.02</v>
      </c>
      <c r="H5" s="14">
        <v>227.27</v>
      </c>
      <c r="I5" s="12">
        <v>227.27</v>
      </c>
      <c r="J5" s="10" t="s">
        <v>110</v>
      </c>
      <c r="K5" s="10"/>
      <c r="L5" s="10" t="s">
        <v>111</v>
      </c>
      <c r="M5" s="10" t="s">
        <v>89</v>
      </c>
      <c r="N5" s="10" t="s">
        <v>89</v>
      </c>
      <c r="O5" s="11">
        <v>46096</v>
      </c>
      <c r="P5" s="11">
        <v>46115</v>
      </c>
      <c r="Q5" s="17">
        <f>H5-I5</f>
        <v>0</v>
      </c>
      <c r="R5" s="18">
        <f>IF(P5="","",P5-O5)</f>
        <v>19</v>
      </c>
      <c r="S5" s="18" t="str">
        <f>_xlfn.XLOOKUP(C5,Providers!A:A,Providers!C:C,"Not Found")</f>
        <v>Diagnostic Imaging</v>
      </c>
    </row>
    <row r="6" spans="1:19">
      <c r="A6" s="10" t="s">
        <v>112</v>
      </c>
      <c r="B6" s="10" t="s">
        <v>107</v>
      </c>
      <c r="C6" s="10" t="s">
        <v>94</v>
      </c>
      <c r="D6" s="11">
        <v>46082</v>
      </c>
      <c r="E6" s="10" t="s">
        <v>113</v>
      </c>
      <c r="F6" s="10" t="s">
        <v>114</v>
      </c>
      <c r="G6" s="12">
        <v>144.41999999999999</v>
      </c>
      <c r="H6" s="14">
        <v>87.6</v>
      </c>
      <c r="I6" s="12">
        <v>87.6</v>
      </c>
      <c r="J6" s="10" t="s">
        <v>110</v>
      </c>
      <c r="K6" s="10"/>
      <c r="L6" s="10" t="s">
        <v>87</v>
      </c>
      <c r="M6" s="10" t="s">
        <v>88</v>
      </c>
      <c r="N6" s="10" t="s">
        <v>89</v>
      </c>
      <c r="O6" s="11">
        <v>46085</v>
      </c>
      <c r="P6" s="11">
        <v>46124</v>
      </c>
      <c r="Q6" s="17">
        <f>H6-I6</f>
        <v>0</v>
      </c>
      <c r="R6" s="18">
        <f>IF(P6="","",P6-O6)</f>
        <v>39</v>
      </c>
      <c r="S6" s="18" t="str">
        <f>_xlfn.XLOOKUP(C6,Providers!A:A,Providers!C:C,"Not Found")</f>
        <v>Primary Care</v>
      </c>
    </row>
    <row r="7" spans="1:19">
      <c r="A7" s="10" t="s">
        <v>115</v>
      </c>
      <c r="B7" s="10" t="s">
        <v>116</v>
      </c>
      <c r="C7" s="10" t="s">
        <v>78</v>
      </c>
      <c r="D7" s="11">
        <v>46035</v>
      </c>
      <c r="E7" s="10" t="s">
        <v>95</v>
      </c>
      <c r="F7" s="10" t="s">
        <v>114</v>
      </c>
      <c r="G7" s="12">
        <v>1245.45</v>
      </c>
      <c r="H7" s="14">
        <v>846.86</v>
      </c>
      <c r="I7" s="12">
        <v>0</v>
      </c>
      <c r="J7" s="10" t="s">
        <v>97</v>
      </c>
      <c r="K7" s="10" t="s">
        <v>117</v>
      </c>
      <c r="L7" s="10" t="s">
        <v>118</v>
      </c>
      <c r="M7" s="10" t="s">
        <v>89</v>
      </c>
      <c r="N7" s="10" t="s">
        <v>89</v>
      </c>
      <c r="O7" s="11">
        <v>46042</v>
      </c>
      <c r="P7" s="11">
        <v>46063</v>
      </c>
      <c r="Q7" s="17">
        <f>H7-I7</f>
        <v>846.86</v>
      </c>
      <c r="R7" s="18">
        <f>IF(P7="","",P7-O7)</f>
        <v>21</v>
      </c>
      <c r="S7" s="18" t="str">
        <f>_xlfn.XLOOKUP(C7,Providers!A:A,Providers!C:C,"Not Found")</f>
        <v>Primary Care</v>
      </c>
    </row>
    <row r="8" spans="1:19">
      <c r="A8" s="10" t="s">
        <v>119</v>
      </c>
      <c r="B8" s="10" t="s">
        <v>120</v>
      </c>
      <c r="C8" s="10" t="s">
        <v>121</v>
      </c>
      <c r="D8" s="11">
        <v>46051</v>
      </c>
      <c r="E8" s="10" t="s">
        <v>122</v>
      </c>
      <c r="F8" s="10" t="s">
        <v>103</v>
      </c>
      <c r="G8" s="12">
        <v>110.77</v>
      </c>
      <c r="H8" s="14">
        <v>80.150000000000006</v>
      </c>
      <c r="I8" s="12">
        <v>80.150000000000006</v>
      </c>
      <c r="J8" s="10" t="s">
        <v>110</v>
      </c>
      <c r="K8" s="10"/>
      <c r="L8" s="10" t="s">
        <v>105</v>
      </c>
      <c r="M8" s="10" t="s">
        <v>89</v>
      </c>
      <c r="N8" s="10" t="s">
        <v>89</v>
      </c>
      <c r="O8" s="11">
        <v>46060</v>
      </c>
      <c r="P8" s="11">
        <v>46099</v>
      </c>
      <c r="Q8" s="17">
        <f>H8-I8</f>
        <v>0</v>
      </c>
      <c r="R8" s="18">
        <f>IF(P8="","",P8-O8)</f>
        <v>39</v>
      </c>
      <c r="S8" s="18" t="str">
        <f>_xlfn.XLOOKUP(C8,Providers!A:A,Providers!C:C,"Not Found")</f>
        <v>Sports Medicine</v>
      </c>
    </row>
    <row r="9" spans="1:19">
      <c r="A9" s="10" t="s">
        <v>123</v>
      </c>
      <c r="B9" s="10" t="s">
        <v>124</v>
      </c>
      <c r="C9" s="10" t="s">
        <v>125</v>
      </c>
      <c r="D9" s="11">
        <v>46070</v>
      </c>
      <c r="E9" s="10" t="s">
        <v>95</v>
      </c>
      <c r="F9" s="10" t="s">
        <v>114</v>
      </c>
      <c r="G9" s="12">
        <v>1333.1</v>
      </c>
      <c r="H9" s="14">
        <v>765.93</v>
      </c>
      <c r="I9" s="12">
        <v>765.93</v>
      </c>
      <c r="J9" s="10" t="s">
        <v>110</v>
      </c>
      <c r="K9" s="10"/>
      <c r="L9" s="10" t="s">
        <v>118</v>
      </c>
      <c r="M9" s="10" t="s">
        <v>89</v>
      </c>
      <c r="N9" s="10" t="s">
        <v>89</v>
      </c>
      <c r="O9" s="11">
        <v>46073</v>
      </c>
      <c r="P9" s="11">
        <v>46121</v>
      </c>
      <c r="Q9" s="17">
        <f>H9-I9</f>
        <v>0</v>
      </c>
      <c r="R9" s="18">
        <f>IF(P9="","",P9-O9)</f>
        <v>48</v>
      </c>
      <c r="S9" s="18" t="str">
        <f>_xlfn.XLOOKUP(C9,Providers!A:A,Providers!C:C,"Not Found")</f>
        <v>Orthopedics</v>
      </c>
    </row>
    <row r="10" spans="1:19">
      <c r="A10" s="10" t="s">
        <v>126</v>
      </c>
      <c r="B10" s="10" t="s">
        <v>127</v>
      </c>
      <c r="C10" s="10" t="s">
        <v>125</v>
      </c>
      <c r="D10" s="11">
        <v>46072</v>
      </c>
      <c r="E10" s="10" t="s">
        <v>122</v>
      </c>
      <c r="F10" s="10" t="s">
        <v>128</v>
      </c>
      <c r="G10" s="12">
        <v>117.69</v>
      </c>
      <c r="H10" s="14">
        <v>92.08</v>
      </c>
      <c r="I10" s="12">
        <v>92.08</v>
      </c>
      <c r="J10" s="10" t="s">
        <v>110</v>
      </c>
      <c r="K10" s="10"/>
      <c r="L10" s="10" t="s">
        <v>105</v>
      </c>
      <c r="M10" s="10" t="s">
        <v>88</v>
      </c>
      <c r="N10" s="10" t="s">
        <v>89</v>
      </c>
      <c r="O10" s="11">
        <v>46081</v>
      </c>
      <c r="P10" s="11">
        <v>46103</v>
      </c>
      <c r="Q10" s="17">
        <f>H10-I10</f>
        <v>0</v>
      </c>
      <c r="R10" s="18">
        <f>IF(P10="","",P10-O10)</f>
        <v>22</v>
      </c>
      <c r="S10" s="18" t="str">
        <f>_xlfn.XLOOKUP(C10,Providers!A:A,Providers!C:C,"Not Found")</f>
        <v>Orthopedics</v>
      </c>
    </row>
    <row r="11" spans="1:19">
      <c r="A11" s="10" t="s">
        <v>129</v>
      </c>
      <c r="B11" s="10" t="s">
        <v>130</v>
      </c>
      <c r="C11" s="10" t="s">
        <v>78</v>
      </c>
      <c r="D11" s="11">
        <v>46095</v>
      </c>
      <c r="E11" s="10" t="s">
        <v>95</v>
      </c>
      <c r="F11" s="10" t="s">
        <v>103</v>
      </c>
      <c r="G11" s="12">
        <v>1087.3699999999999</v>
      </c>
      <c r="H11" s="14">
        <v>771.06</v>
      </c>
      <c r="I11" s="12">
        <v>0</v>
      </c>
      <c r="J11" s="10" t="s">
        <v>97</v>
      </c>
      <c r="K11" s="10" t="s">
        <v>98</v>
      </c>
      <c r="L11" s="10" t="s">
        <v>105</v>
      </c>
      <c r="M11" s="10" t="s">
        <v>89</v>
      </c>
      <c r="N11" s="10" t="s">
        <v>89</v>
      </c>
      <c r="O11" s="11">
        <v>46102</v>
      </c>
      <c r="P11" s="11">
        <v>46128</v>
      </c>
      <c r="Q11" s="17">
        <f>H11-I11</f>
        <v>771.06</v>
      </c>
      <c r="R11" s="18">
        <f>IF(P11="","",P11-O11)</f>
        <v>26</v>
      </c>
      <c r="S11" s="18" t="str">
        <f>_xlfn.XLOOKUP(C11,Providers!A:A,Providers!C:C,"Not Found")</f>
        <v>Primary Care</v>
      </c>
    </row>
    <row r="12" spans="1:19">
      <c r="A12" s="10" t="s">
        <v>131</v>
      </c>
      <c r="B12" s="10" t="s">
        <v>132</v>
      </c>
      <c r="C12" s="10" t="s">
        <v>133</v>
      </c>
      <c r="D12" s="11">
        <v>46071</v>
      </c>
      <c r="E12" s="10" t="s">
        <v>134</v>
      </c>
      <c r="F12" s="10" t="s">
        <v>135</v>
      </c>
      <c r="G12" s="12">
        <v>1519</v>
      </c>
      <c r="H12" s="14">
        <v>1035.8399999999999</v>
      </c>
      <c r="I12" s="12">
        <v>1035.8399999999999</v>
      </c>
      <c r="J12" s="10" t="s">
        <v>110</v>
      </c>
      <c r="K12" s="10"/>
      <c r="L12" s="10" t="s">
        <v>111</v>
      </c>
      <c r="M12" s="10" t="s">
        <v>136</v>
      </c>
      <c r="N12" s="10" t="s">
        <v>89</v>
      </c>
      <c r="O12" s="11">
        <v>46076</v>
      </c>
      <c r="P12" s="11">
        <v>46096</v>
      </c>
      <c r="Q12" s="17">
        <f>H12-I12</f>
        <v>0</v>
      </c>
      <c r="R12" s="18">
        <f>IF(P12="","",P12-O12)</f>
        <v>20</v>
      </c>
      <c r="S12" s="18" t="str">
        <f>_xlfn.XLOOKUP(C12,Providers!A:A,Providers!C:C,"Not Found")</f>
        <v>Orthopedics</v>
      </c>
    </row>
    <row r="13" spans="1:19">
      <c r="A13" s="10" t="s">
        <v>137</v>
      </c>
      <c r="B13" s="10" t="s">
        <v>138</v>
      </c>
      <c r="C13" s="10" t="s">
        <v>108</v>
      </c>
      <c r="D13" s="11">
        <v>46034</v>
      </c>
      <c r="E13" s="10" t="s">
        <v>122</v>
      </c>
      <c r="F13" s="10" t="s">
        <v>96</v>
      </c>
      <c r="G13" s="12">
        <v>118.24</v>
      </c>
      <c r="H13" s="14">
        <v>82.04</v>
      </c>
      <c r="I13" s="12">
        <v>82.04</v>
      </c>
      <c r="J13" s="10" t="s">
        <v>110</v>
      </c>
      <c r="K13" s="10"/>
      <c r="L13" s="10" t="s">
        <v>105</v>
      </c>
      <c r="M13" s="10" t="s">
        <v>88</v>
      </c>
      <c r="N13" s="10" t="s">
        <v>89</v>
      </c>
      <c r="O13" s="11">
        <v>46043</v>
      </c>
      <c r="P13" s="11">
        <v>46058</v>
      </c>
      <c r="Q13" s="17">
        <f>H13-I13</f>
        <v>0</v>
      </c>
      <c r="R13" s="18">
        <f>IF(P13="","",P13-O13)</f>
        <v>15</v>
      </c>
      <c r="S13" s="18" t="str">
        <f>_xlfn.XLOOKUP(C13,Providers!A:A,Providers!C:C,"Not Found")</f>
        <v>Diagnostic Imaging</v>
      </c>
    </row>
    <row r="14" spans="1:19">
      <c r="A14" s="10" t="s">
        <v>139</v>
      </c>
      <c r="B14" s="10" t="s">
        <v>101</v>
      </c>
      <c r="C14" s="10" t="s">
        <v>125</v>
      </c>
      <c r="D14" s="11">
        <v>46051</v>
      </c>
      <c r="E14" s="10" t="s">
        <v>95</v>
      </c>
      <c r="F14" s="10" t="s">
        <v>128</v>
      </c>
      <c r="G14" s="12">
        <v>1239.1400000000001</v>
      </c>
      <c r="H14" s="14">
        <v>906.25</v>
      </c>
      <c r="I14" s="12">
        <v>906.25</v>
      </c>
      <c r="J14" s="10" t="s">
        <v>110</v>
      </c>
      <c r="K14" s="10"/>
      <c r="L14" s="10" t="s">
        <v>111</v>
      </c>
      <c r="M14" s="10" t="s">
        <v>88</v>
      </c>
      <c r="N14" s="10" t="s">
        <v>89</v>
      </c>
      <c r="O14" s="11">
        <v>46055</v>
      </c>
      <c r="P14" s="11">
        <v>46074</v>
      </c>
      <c r="Q14" s="17">
        <f>H14-I14</f>
        <v>0</v>
      </c>
      <c r="R14" s="18">
        <f>IF(P14="","",P14-O14)</f>
        <v>19</v>
      </c>
      <c r="S14" s="18" t="str">
        <f>_xlfn.XLOOKUP(C14,Providers!A:A,Providers!C:C,"Not Found")</f>
        <v>Orthopedics</v>
      </c>
    </row>
    <row r="15" spans="1:19">
      <c r="A15" s="10" t="s">
        <v>140</v>
      </c>
      <c r="B15" s="10" t="s">
        <v>141</v>
      </c>
      <c r="C15" s="10" t="s">
        <v>78</v>
      </c>
      <c r="D15" s="11">
        <v>46099</v>
      </c>
      <c r="E15" s="10" t="s">
        <v>95</v>
      </c>
      <c r="F15" s="10" t="s">
        <v>81</v>
      </c>
      <c r="G15" s="12">
        <v>906.11</v>
      </c>
      <c r="H15" s="14">
        <v>671.53</v>
      </c>
      <c r="I15" s="12">
        <v>671.53</v>
      </c>
      <c r="J15" s="10" t="s">
        <v>110</v>
      </c>
      <c r="K15" s="10"/>
      <c r="L15" s="10" t="s">
        <v>99</v>
      </c>
      <c r="M15" s="10" t="s">
        <v>89</v>
      </c>
      <c r="N15" s="10" t="s">
        <v>136</v>
      </c>
      <c r="O15" s="11">
        <v>46105</v>
      </c>
      <c r="P15" s="11">
        <v>46114</v>
      </c>
      <c r="Q15" s="17">
        <f>H15-I15</f>
        <v>0</v>
      </c>
      <c r="R15" s="18">
        <f>IF(P15="","",P15-O15)</f>
        <v>9</v>
      </c>
      <c r="S15" s="18" t="str">
        <f>_xlfn.XLOOKUP(C15,Providers!A:A,Providers!C:C,"Not Found")</f>
        <v>Primary Care</v>
      </c>
    </row>
    <row r="16" spans="1:19">
      <c r="A16" s="10" t="s">
        <v>142</v>
      </c>
      <c r="B16" s="10" t="s">
        <v>143</v>
      </c>
      <c r="C16" s="10" t="s">
        <v>133</v>
      </c>
      <c r="D16" s="11">
        <v>46031</v>
      </c>
      <c r="E16" s="10" t="s">
        <v>144</v>
      </c>
      <c r="F16" s="10" t="s">
        <v>114</v>
      </c>
      <c r="G16" s="12">
        <v>961.67</v>
      </c>
      <c r="H16" s="14">
        <v>546.55999999999995</v>
      </c>
      <c r="I16" s="12">
        <v>0</v>
      </c>
      <c r="J16" s="10" t="s">
        <v>97</v>
      </c>
      <c r="K16" s="10" t="s">
        <v>145</v>
      </c>
      <c r="L16" s="10" t="s">
        <v>99</v>
      </c>
      <c r="M16" s="10" t="s">
        <v>136</v>
      </c>
      <c r="N16" s="10" t="s">
        <v>89</v>
      </c>
      <c r="O16" s="11">
        <v>46035</v>
      </c>
      <c r="P16" s="11">
        <v>46077</v>
      </c>
      <c r="Q16" s="17">
        <f>H16-I16</f>
        <v>546.55999999999995</v>
      </c>
      <c r="R16" s="18">
        <f>IF(P16="","",P16-O16)</f>
        <v>42</v>
      </c>
      <c r="S16" s="18" t="str">
        <f>_xlfn.XLOOKUP(C16,Providers!A:A,Providers!C:C,"Not Found")</f>
        <v>Orthopedics</v>
      </c>
    </row>
    <row r="17" spans="1:19">
      <c r="A17" s="10" t="s">
        <v>146</v>
      </c>
      <c r="B17" s="10" t="s">
        <v>147</v>
      </c>
      <c r="C17" s="10" t="s">
        <v>125</v>
      </c>
      <c r="D17" s="11">
        <v>46069</v>
      </c>
      <c r="E17" s="10" t="s">
        <v>148</v>
      </c>
      <c r="F17" s="10" t="s">
        <v>103</v>
      </c>
      <c r="G17" s="12">
        <v>132.03</v>
      </c>
      <c r="H17" s="14">
        <v>98.61</v>
      </c>
      <c r="I17" s="12">
        <v>52.38</v>
      </c>
      <c r="J17" s="10" t="s">
        <v>85</v>
      </c>
      <c r="K17" s="10"/>
      <c r="L17" s="10" t="s">
        <v>87</v>
      </c>
      <c r="M17" s="10" t="s">
        <v>88</v>
      </c>
      <c r="N17" s="10" t="s">
        <v>89</v>
      </c>
      <c r="O17" s="11">
        <v>46075</v>
      </c>
      <c r="P17" s="11">
        <v>46086</v>
      </c>
      <c r="Q17" s="17">
        <f>H17-I17</f>
        <v>46.23</v>
      </c>
      <c r="R17" s="18">
        <f>IF(P17="","",P17-O17)</f>
        <v>11</v>
      </c>
      <c r="S17" s="18" t="str">
        <f>_xlfn.XLOOKUP(C17,Providers!A:A,Providers!C:C,"Not Found")</f>
        <v>Orthopedics</v>
      </c>
    </row>
    <row r="18" spans="1:19">
      <c r="A18" s="10" t="s">
        <v>149</v>
      </c>
      <c r="B18" s="10" t="s">
        <v>132</v>
      </c>
      <c r="C18" s="10" t="s">
        <v>102</v>
      </c>
      <c r="D18" s="11">
        <v>46092</v>
      </c>
      <c r="E18" s="10" t="s">
        <v>122</v>
      </c>
      <c r="F18" s="10" t="s">
        <v>114</v>
      </c>
      <c r="G18" s="12">
        <v>73.75</v>
      </c>
      <c r="H18" s="14">
        <v>46.11</v>
      </c>
      <c r="I18" s="12">
        <v>46.11</v>
      </c>
      <c r="J18" s="10" t="s">
        <v>110</v>
      </c>
      <c r="K18" s="10"/>
      <c r="L18" s="10" t="s">
        <v>111</v>
      </c>
      <c r="M18" s="10" t="s">
        <v>89</v>
      </c>
      <c r="N18" s="10" t="s">
        <v>89</v>
      </c>
      <c r="O18" s="11">
        <v>46101</v>
      </c>
      <c r="P18" s="11">
        <v>46112</v>
      </c>
      <c r="Q18" s="17">
        <f>H18-I18</f>
        <v>0</v>
      </c>
      <c r="R18" s="18">
        <f>IF(P18="","",P18-O18)</f>
        <v>11</v>
      </c>
      <c r="S18" s="18" t="str">
        <f>_xlfn.XLOOKUP(C18,Providers!A:A,Providers!C:C,"Not Found")</f>
        <v>Neurology</v>
      </c>
    </row>
    <row r="19" spans="1:19">
      <c r="A19" s="10" t="s">
        <v>150</v>
      </c>
      <c r="B19" s="10" t="s">
        <v>77</v>
      </c>
      <c r="C19" s="10" t="s">
        <v>94</v>
      </c>
      <c r="D19" s="11">
        <v>46079</v>
      </c>
      <c r="E19" s="10" t="s">
        <v>134</v>
      </c>
      <c r="F19" s="10" t="s">
        <v>151</v>
      </c>
      <c r="G19" s="12">
        <v>953.08</v>
      </c>
      <c r="H19" s="14">
        <v>710.01</v>
      </c>
      <c r="I19" s="12">
        <v>0</v>
      </c>
      <c r="J19" s="10" t="s">
        <v>97</v>
      </c>
      <c r="K19" s="10" t="s">
        <v>117</v>
      </c>
      <c r="L19" s="10" t="s">
        <v>99</v>
      </c>
      <c r="M19" s="10" t="s">
        <v>88</v>
      </c>
      <c r="N19" s="10" t="s">
        <v>89</v>
      </c>
      <c r="O19" s="11">
        <v>46084</v>
      </c>
      <c r="P19" s="11">
        <v>46129</v>
      </c>
      <c r="Q19" s="17">
        <f>H19-I19</f>
        <v>710.01</v>
      </c>
      <c r="R19" s="18">
        <f>IF(P19="","",P19-O19)</f>
        <v>45</v>
      </c>
      <c r="S19" s="18" t="str">
        <f>_xlfn.XLOOKUP(C19,Providers!A:A,Providers!C:C,"Not Found")</f>
        <v>Primary Care</v>
      </c>
    </row>
    <row r="20" spans="1:19">
      <c r="A20" s="10" t="s">
        <v>152</v>
      </c>
      <c r="B20" s="10" t="s">
        <v>153</v>
      </c>
      <c r="C20" s="10" t="s">
        <v>125</v>
      </c>
      <c r="D20" s="11">
        <v>46113</v>
      </c>
      <c r="E20" s="10" t="s">
        <v>122</v>
      </c>
      <c r="F20" s="10" t="s">
        <v>114</v>
      </c>
      <c r="G20" s="12">
        <v>55.19</v>
      </c>
      <c r="H20" s="14">
        <v>33.6</v>
      </c>
      <c r="I20" s="12">
        <v>33.6</v>
      </c>
      <c r="J20" s="10" t="s">
        <v>110</v>
      </c>
      <c r="K20" s="10"/>
      <c r="L20" s="10" t="s">
        <v>111</v>
      </c>
      <c r="M20" s="10" t="s">
        <v>88</v>
      </c>
      <c r="N20" s="10" t="s">
        <v>89</v>
      </c>
      <c r="O20" s="11">
        <v>46119</v>
      </c>
      <c r="P20" s="11">
        <v>46127</v>
      </c>
      <c r="Q20" s="17">
        <f>H20-I20</f>
        <v>0</v>
      </c>
      <c r="R20" s="18">
        <f>IF(P20="","",P20-O20)</f>
        <v>8</v>
      </c>
      <c r="S20" s="18" t="str">
        <f>_xlfn.XLOOKUP(C20,Providers!A:A,Providers!C:C,"Not Found")</f>
        <v>Orthopedics</v>
      </c>
    </row>
    <row r="21" spans="1:19">
      <c r="A21" s="10" t="s">
        <v>154</v>
      </c>
      <c r="B21" s="10" t="s">
        <v>155</v>
      </c>
      <c r="C21" s="10" t="s">
        <v>156</v>
      </c>
      <c r="D21" s="11">
        <v>46072</v>
      </c>
      <c r="E21" s="10" t="s">
        <v>80</v>
      </c>
      <c r="F21" s="10" t="s">
        <v>81</v>
      </c>
      <c r="G21" s="12">
        <v>330.62</v>
      </c>
      <c r="H21" s="14">
        <v>257.08</v>
      </c>
      <c r="I21" s="12">
        <v>0</v>
      </c>
      <c r="J21" s="10" t="s">
        <v>97</v>
      </c>
      <c r="K21" s="10" t="s">
        <v>157</v>
      </c>
      <c r="L21" s="10" t="s">
        <v>111</v>
      </c>
      <c r="M21" s="10" t="s">
        <v>89</v>
      </c>
      <c r="N21" s="10" t="s">
        <v>89</v>
      </c>
      <c r="O21" s="11">
        <v>46079</v>
      </c>
      <c r="P21" s="11">
        <v>46101</v>
      </c>
      <c r="Q21" s="17">
        <f>H21-I21</f>
        <v>257.08</v>
      </c>
      <c r="R21" s="18">
        <f>IF(P21="","",P21-O21)</f>
        <v>22</v>
      </c>
      <c r="S21" s="18" t="str">
        <f>_xlfn.XLOOKUP(C21,Providers!A:A,Providers!C:C,"Not Found")</f>
        <v>Internal Medicine</v>
      </c>
    </row>
    <row r="22" spans="1:19">
      <c r="A22" s="10" t="s">
        <v>158</v>
      </c>
      <c r="B22" s="10" t="s">
        <v>159</v>
      </c>
      <c r="C22" s="10" t="s">
        <v>108</v>
      </c>
      <c r="D22" s="11">
        <v>46077</v>
      </c>
      <c r="E22" s="10" t="s">
        <v>113</v>
      </c>
      <c r="F22" s="10" t="s">
        <v>128</v>
      </c>
      <c r="G22" s="12">
        <v>124.51</v>
      </c>
      <c r="H22" s="14">
        <v>92.56</v>
      </c>
      <c r="I22" s="12">
        <v>92.56</v>
      </c>
      <c r="J22" s="10" t="s">
        <v>110</v>
      </c>
      <c r="K22" s="10"/>
      <c r="L22" s="10" t="s">
        <v>105</v>
      </c>
      <c r="M22" s="10" t="s">
        <v>136</v>
      </c>
      <c r="N22" s="10" t="s">
        <v>89</v>
      </c>
      <c r="O22" s="11">
        <v>46082</v>
      </c>
      <c r="P22" s="11">
        <v>46116</v>
      </c>
      <c r="Q22" s="17">
        <f>H22-I22</f>
        <v>0</v>
      </c>
      <c r="R22" s="18">
        <f>IF(P22="","",P22-O22)</f>
        <v>34</v>
      </c>
      <c r="S22" s="18" t="str">
        <f>_xlfn.XLOOKUP(C22,Providers!A:A,Providers!C:C,"Not Found")</f>
        <v>Diagnostic Imaging</v>
      </c>
    </row>
    <row r="23" spans="1:19">
      <c r="A23" s="10" t="s">
        <v>160</v>
      </c>
      <c r="B23" s="10" t="s">
        <v>127</v>
      </c>
      <c r="C23" s="10" t="s">
        <v>78</v>
      </c>
      <c r="D23" s="11">
        <v>46082</v>
      </c>
      <c r="E23" s="10" t="s">
        <v>144</v>
      </c>
      <c r="F23" s="10" t="s">
        <v>96</v>
      </c>
      <c r="G23" s="12">
        <v>1383.87</v>
      </c>
      <c r="H23" s="14">
        <v>950.15</v>
      </c>
      <c r="I23" s="12">
        <v>950.15</v>
      </c>
      <c r="J23" s="10" t="s">
        <v>110</v>
      </c>
      <c r="K23" s="10"/>
      <c r="L23" s="10" t="s">
        <v>105</v>
      </c>
      <c r="M23" s="10" t="s">
        <v>136</v>
      </c>
      <c r="N23" s="10" t="s">
        <v>89</v>
      </c>
      <c r="O23" s="11">
        <v>46086</v>
      </c>
      <c r="P23" s="11">
        <v>46114</v>
      </c>
      <c r="Q23" s="17">
        <f>H23-I23</f>
        <v>0</v>
      </c>
      <c r="R23" s="18">
        <f>IF(P23="","",P23-O23)</f>
        <v>28</v>
      </c>
      <c r="S23" s="18" t="str">
        <f>_xlfn.XLOOKUP(C23,Providers!A:A,Providers!C:C,"Not Found")</f>
        <v>Primary Care</v>
      </c>
    </row>
    <row r="24" spans="1:19">
      <c r="A24" s="10" t="s">
        <v>161</v>
      </c>
      <c r="B24" s="10" t="s">
        <v>155</v>
      </c>
      <c r="C24" s="10" t="s">
        <v>156</v>
      </c>
      <c r="D24" s="11">
        <v>46093</v>
      </c>
      <c r="E24" s="10" t="s">
        <v>80</v>
      </c>
      <c r="F24" s="10" t="s">
        <v>135</v>
      </c>
      <c r="G24" s="12">
        <v>326.93</v>
      </c>
      <c r="H24" s="14">
        <v>228.77</v>
      </c>
      <c r="I24" s="12">
        <v>0</v>
      </c>
      <c r="J24" s="10" t="s">
        <v>162</v>
      </c>
      <c r="K24" s="10"/>
      <c r="L24" s="10" t="s">
        <v>105</v>
      </c>
      <c r="M24" s="10" t="s">
        <v>89</v>
      </c>
      <c r="N24" s="10" t="s">
        <v>136</v>
      </c>
      <c r="O24" s="11">
        <v>46096</v>
      </c>
      <c r="P24" s="11"/>
      <c r="Q24" s="17">
        <f>H24-I24</f>
        <v>228.77</v>
      </c>
      <c r="R24" s="18" t="str">
        <f>IF(P24="","",P24-O24)</f>
        <v/>
      </c>
      <c r="S24" s="18" t="str">
        <f>_xlfn.XLOOKUP(C24,Providers!A:A,Providers!C:C,"Not Found")</f>
        <v>Internal Medicine</v>
      </c>
    </row>
    <row r="25" spans="1:19">
      <c r="A25" s="10" t="s">
        <v>163</v>
      </c>
      <c r="B25" s="10" t="s">
        <v>77</v>
      </c>
      <c r="C25" s="10" t="s">
        <v>108</v>
      </c>
      <c r="D25" s="11">
        <v>46119</v>
      </c>
      <c r="E25" s="10" t="s">
        <v>134</v>
      </c>
      <c r="F25" s="10" t="s">
        <v>128</v>
      </c>
      <c r="G25" s="12">
        <v>1217.67</v>
      </c>
      <c r="H25" s="14">
        <v>738.97</v>
      </c>
      <c r="I25" s="12">
        <v>738.97</v>
      </c>
      <c r="J25" s="10" t="s">
        <v>110</v>
      </c>
      <c r="K25" s="10"/>
      <c r="L25" s="10" t="s">
        <v>118</v>
      </c>
      <c r="M25" s="10" t="s">
        <v>88</v>
      </c>
      <c r="N25" s="10" t="s">
        <v>89</v>
      </c>
      <c r="O25" s="11">
        <v>46124</v>
      </c>
      <c r="P25" s="11">
        <v>46161</v>
      </c>
      <c r="Q25" s="17">
        <f>H25-I25</f>
        <v>0</v>
      </c>
      <c r="R25" s="18">
        <f>IF(P25="","",P25-O25)</f>
        <v>37</v>
      </c>
      <c r="S25" s="18" t="str">
        <f>_xlfn.XLOOKUP(C25,Providers!A:A,Providers!C:C,"Not Found")</f>
        <v>Diagnostic Imaging</v>
      </c>
    </row>
    <row r="26" spans="1:19">
      <c r="A26" s="10" t="s">
        <v>164</v>
      </c>
      <c r="B26" s="10" t="s">
        <v>165</v>
      </c>
      <c r="C26" s="10" t="s">
        <v>78</v>
      </c>
      <c r="D26" s="11">
        <v>46035</v>
      </c>
      <c r="E26" s="10" t="s">
        <v>148</v>
      </c>
      <c r="F26" s="10" t="s">
        <v>128</v>
      </c>
      <c r="G26" s="12">
        <v>93.97</v>
      </c>
      <c r="H26" s="14">
        <v>60.15</v>
      </c>
      <c r="I26" s="12">
        <v>60.15</v>
      </c>
      <c r="J26" s="10" t="s">
        <v>110</v>
      </c>
      <c r="K26" s="10"/>
      <c r="L26" s="10" t="s">
        <v>118</v>
      </c>
      <c r="M26" s="10" t="s">
        <v>136</v>
      </c>
      <c r="N26" s="10" t="s">
        <v>89</v>
      </c>
      <c r="O26" s="11">
        <v>46043</v>
      </c>
      <c r="P26" s="11">
        <v>46083</v>
      </c>
      <c r="Q26" s="17">
        <f>H26-I26</f>
        <v>0</v>
      </c>
      <c r="R26" s="18">
        <f>IF(P26="","",P26-O26)</f>
        <v>40</v>
      </c>
      <c r="S26" s="18" t="str">
        <f>_xlfn.XLOOKUP(C26,Providers!A:A,Providers!C:C,"Not Found")</f>
        <v>Primary Care</v>
      </c>
    </row>
    <row r="27" spans="1:19">
      <c r="A27" s="10" t="s">
        <v>166</v>
      </c>
      <c r="B27" s="10" t="s">
        <v>167</v>
      </c>
      <c r="C27" s="10" t="s">
        <v>108</v>
      </c>
      <c r="D27" s="11">
        <v>46033</v>
      </c>
      <c r="E27" s="10" t="s">
        <v>134</v>
      </c>
      <c r="F27" s="10" t="s">
        <v>135</v>
      </c>
      <c r="G27" s="12">
        <v>1742.87</v>
      </c>
      <c r="H27" s="14">
        <v>1232.69</v>
      </c>
      <c r="I27" s="12">
        <v>1232.69</v>
      </c>
      <c r="J27" s="10" t="s">
        <v>110</v>
      </c>
      <c r="K27" s="10"/>
      <c r="L27" s="10" t="s">
        <v>105</v>
      </c>
      <c r="M27" s="10" t="s">
        <v>89</v>
      </c>
      <c r="N27" s="10" t="s">
        <v>89</v>
      </c>
      <c r="O27" s="11">
        <v>46039</v>
      </c>
      <c r="P27" s="11">
        <v>46046</v>
      </c>
      <c r="Q27" s="17">
        <f>H27-I27</f>
        <v>0</v>
      </c>
      <c r="R27" s="18">
        <f>IF(P27="","",P27-O27)</f>
        <v>7</v>
      </c>
      <c r="S27" s="18" t="str">
        <f>_xlfn.XLOOKUP(C27,Providers!A:A,Providers!C:C,"Not Found")</f>
        <v>Diagnostic Imaging</v>
      </c>
    </row>
    <row r="28" spans="1:19">
      <c r="A28" s="10" t="s">
        <v>168</v>
      </c>
      <c r="B28" s="10" t="s">
        <v>120</v>
      </c>
      <c r="C28" s="10" t="s">
        <v>102</v>
      </c>
      <c r="D28" s="11">
        <v>46109</v>
      </c>
      <c r="E28" s="10" t="s">
        <v>144</v>
      </c>
      <c r="F28" s="10" t="s">
        <v>109</v>
      </c>
      <c r="G28" s="12">
        <v>1602.1</v>
      </c>
      <c r="H28" s="14">
        <v>1263.5999999999999</v>
      </c>
      <c r="I28" s="12">
        <v>1263.5999999999999</v>
      </c>
      <c r="J28" s="10" t="s">
        <v>110</v>
      </c>
      <c r="K28" s="10"/>
      <c r="L28" s="10" t="s">
        <v>87</v>
      </c>
      <c r="M28" s="10" t="s">
        <v>88</v>
      </c>
      <c r="N28" s="10" t="s">
        <v>89</v>
      </c>
      <c r="O28" s="11">
        <v>46113</v>
      </c>
      <c r="P28" s="11">
        <v>46128</v>
      </c>
      <c r="Q28" s="17">
        <f>H28-I28</f>
        <v>0</v>
      </c>
      <c r="R28" s="18">
        <f>IF(P28="","",P28-O28)</f>
        <v>15</v>
      </c>
      <c r="S28" s="18" t="str">
        <f>_xlfn.XLOOKUP(C28,Providers!A:A,Providers!C:C,"Not Found")</f>
        <v>Neurology</v>
      </c>
    </row>
    <row r="29" spans="1:19">
      <c r="A29" s="10" t="s">
        <v>169</v>
      </c>
      <c r="B29" s="10" t="s">
        <v>170</v>
      </c>
      <c r="C29" s="10" t="s">
        <v>78</v>
      </c>
      <c r="D29" s="11">
        <v>46046</v>
      </c>
      <c r="E29" s="10" t="s">
        <v>113</v>
      </c>
      <c r="F29" s="10" t="s">
        <v>103</v>
      </c>
      <c r="G29" s="12">
        <v>196.27</v>
      </c>
      <c r="H29" s="14">
        <v>153.74</v>
      </c>
      <c r="I29" s="12">
        <v>0</v>
      </c>
      <c r="J29" s="10" t="s">
        <v>97</v>
      </c>
      <c r="K29" s="10" t="s">
        <v>145</v>
      </c>
      <c r="L29" s="10" t="s">
        <v>111</v>
      </c>
      <c r="M29" s="10" t="s">
        <v>136</v>
      </c>
      <c r="N29" s="10" t="s">
        <v>89</v>
      </c>
      <c r="O29" s="11">
        <v>46048</v>
      </c>
      <c r="P29" s="11">
        <v>46077</v>
      </c>
      <c r="Q29" s="17">
        <f>H29-I29</f>
        <v>153.74</v>
      </c>
      <c r="R29" s="18">
        <f>IF(P29="","",P29-O29)</f>
        <v>29</v>
      </c>
      <c r="S29" s="18" t="str">
        <f>_xlfn.XLOOKUP(C29,Providers!A:A,Providers!C:C,"Not Found")</f>
        <v>Primary Care</v>
      </c>
    </row>
    <row r="30" spans="1:19">
      <c r="A30" s="10" t="s">
        <v>171</v>
      </c>
      <c r="B30" s="10" t="s">
        <v>143</v>
      </c>
      <c r="C30" s="10" t="s">
        <v>102</v>
      </c>
      <c r="D30" s="11">
        <v>46049</v>
      </c>
      <c r="E30" s="10" t="s">
        <v>122</v>
      </c>
      <c r="F30" s="10" t="s">
        <v>109</v>
      </c>
      <c r="G30" s="12">
        <v>64.42</v>
      </c>
      <c r="H30" s="14">
        <v>49.26</v>
      </c>
      <c r="I30" s="12">
        <v>49.26</v>
      </c>
      <c r="J30" s="10" t="s">
        <v>110</v>
      </c>
      <c r="K30" s="10"/>
      <c r="L30" s="10" t="s">
        <v>105</v>
      </c>
      <c r="M30" s="10" t="s">
        <v>89</v>
      </c>
      <c r="N30" s="10" t="s">
        <v>89</v>
      </c>
      <c r="O30" s="11">
        <v>46056</v>
      </c>
      <c r="P30" s="11">
        <v>46082</v>
      </c>
      <c r="Q30" s="17">
        <f>H30-I30</f>
        <v>0</v>
      </c>
      <c r="R30" s="18">
        <f>IF(P30="","",P30-O30)</f>
        <v>26</v>
      </c>
      <c r="S30" s="18" t="str">
        <f>_xlfn.XLOOKUP(C30,Providers!A:A,Providers!C:C,"Not Found")</f>
        <v>Neurology</v>
      </c>
    </row>
    <row r="31" spans="1:19">
      <c r="A31" s="10" t="s">
        <v>172</v>
      </c>
      <c r="B31" s="10" t="s">
        <v>127</v>
      </c>
      <c r="C31" s="10" t="s">
        <v>94</v>
      </c>
      <c r="D31" s="11">
        <v>46068</v>
      </c>
      <c r="E31" s="10" t="s">
        <v>148</v>
      </c>
      <c r="F31" s="10" t="s">
        <v>109</v>
      </c>
      <c r="G31" s="12">
        <v>174.53</v>
      </c>
      <c r="H31" s="14">
        <v>101.43</v>
      </c>
      <c r="I31" s="12">
        <v>0</v>
      </c>
      <c r="J31" s="10" t="s">
        <v>162</v>
      </c>
      <c r="K31" s="10"/>
      <c r="L31" s="10" t="s">
        <v>111</v>
      </c>
      <c r="M31" s="10" t="s">
        <v>89</v>
      </c>
      <c r="N31" s="10" t="s">
        <v>89</v>
      </c>
      <c r="O31" s="11">
        <v>46073</v>
      </c>
      <c r="P31" s="11"/>
      <c r="Q31" s="17">
        <f>H31-I31</f>
        <v>101.43</v>
      </c>
      <c r="R31" s="18" t="str">
        <f>IF(P31="","",P31-O31)</f>
        <v/>
      </c>
      <c r="S31" s="18" t="str">
        <f>_xlfn.XLOOKUP(C31,Providers!A:A,Providers!C:C,"Not Found")</f>
        <v>Primary Care</v>
      </c>
    </row>
    <row r="32" spans="1:19">
      <c r="A32" s="10" t="s">
        <v>173</v>
      </c>
      <c r="B32" s="10" t="s">
        <v>147</v>
      </c>
      <c r="C32" s="10" t="s">
        <v>125</v>
      </c>
      <c r="D32" s="11">
        <v>46068</v>
      </c>
      <c r="E32" s="10" t="s">
        <v>113</v>
      </c>
      <c r="F32" s="10" t="s">
        <v>103</v>
      </c>
      <c r="G32" s="12">
        <v>172.75</v>
      </c>
      <c r="H32" s="14">
        <v>118.87</v>
      </c>
      <c r="I32" s="12">
        <v>118.87</v>
      </c>
      <c r="J32" s="10" t="s">
        <v>110</v>
      </c>
      <c r="K32" s="10"/>
      <c r="L32" s="10" t="s">
        <v>111</v>
      </c>
      <c r="M32" s="10" t="s">
        <v>88</v>
      </c>
      <c r="N32" s="10" t="s">
        <v>89</v>
      </c>
      <c r="O32" s="11">
        <v>46069</v>
      </c>
      <c r="P32" s="11">
        <v>46101</v>
      </c>
      <c r="Q32" s="17">
        <f>H32-I32</f>
        <v>0</v>
      </c>
      <c r="R32" s="18">
        <f>IF(P32="","",P32-O32)</f>
        <v>32</v>
      </c>
      <c r="S32" s="18" t="str">
        <f>_xlfn.XLOOKUP(C32,Providers!A:A,Providers!C:C,"Not Found")</f>
        <v>Orthopedics</v>
      </c>
    </row>
    <row r="33" spans="1:19">
      <c r="A33" s="10" t="s">
        <v>174</v>
      </c>
      <c r="B33" s="10" t="s">
        <v>101</v>
      </c>
      <c r="C33" s="10" t="s">
        <v>102</v>
      </c>
      <c r="D33" s="11">
        <v>46070</v>
      </c>
      <c r="E33" s="10" t="s">
        <v>148</v>
      </c>
      <c r="F33" s="10" t="s">
        <v>96</v>
      </c>
      <c r="G33" s="12">
        <v>175.4</v>
      </c>
      <c r="H33" s="14">
        <v>140.08000000000001</v>
      </c>
      <c r="I33" s="12">
        <v>94.4</v>
      </c>
      <c r="J33" s="10" t="s">
        <v>85</v>
      </c>
      <c r="K33" s="10"/>
      <c r="L33" s="10" t="s">
        <v>105</v>
      </c>
      <c r="M33" s="10" t="s">
        <v>88</v>
      </c>
      <c r="N33" s="10" t="s">
        <v>89</v>
      </c>
      <c r="O33" s="11">
        <v>46075</v>
      </c>
      <c r="P33" s="11">
        <v>46112</v>
      </c>
      <c r="Q33" s="17">
        <f>H33-I33</f>
        <v>45.680000000000007</v>
      </c>
      <c r="R33" s="18">
        <f>IF(P33="","",P33-O33)</f>
        <v>37</v>
      </c>
      <c r="S33" s="18" t="str">
        <f>_xlfn.XLOOKUP(C33,Providers!A:A,Providers!C:C,"Not Found")</f>
        <v>Neurology</v>
      </c>
    </row>
    <row r="34" spans="1:19">
      <c r="A34" s="10" t="s">
        <v>175</v>
      </c>
      <c r="B34" s="10" t="s">
        <v>170</v>
      </c>
      <c r="C34" s="10" t="s">
        <v>121</v>
      </c>
      <c r="D34" s="11">
        <v>46075</v>
      </c>
      <c r="E34" s="10" t="s">
        <v>80</v>
      </c>
      <c r="F34" s="10" t="s">
        <v>114</v>
      </c>
      <c r="G34" s="12">
        <v>222.2</v>
      </c>
      <c r="H34" s="14">
        <v>162.1</v>
      </c>
      <c r="I34" s="12">
        <v>162.1</v>
      </c>
      <c r="J34" s="10" t="s">
        <v>110</v>
      </c>
      <c r="K34" s="10"/>
      <c r="L34" s="10" t="s">
        <v>99</v>
      </c>
      <c r="M34" s="10" t="s">
        <v>88</v>
      </c>
      <c r="N34" s="10" t="s">
        <v>136</v>
      </c>
      <c r="O34" s="11">
        <v>46080</v>
      </c>
      <c r="P34" s="11">
        <v>46110</v>
      </c>
      <c r="Q34" s="17">
        <f>H34-I34</f>
        <v>0</v>
      </c>
      <c r="R34" s="18">
        <f>IF(P34="","",P34-O34)</f>
        <v>30</v>
      </c>
      <c r="S34" s="18" t="str">
        <f>_xlfn.XLOOKUP(C34,Providers!A:A,Providers!C:C,"Not Found")</f>
        <v>Sports Medicine</v>
      </c>
    </row>
    <row r="35" spans="1:19">
      <c r="A35" s="10" t="s">
        <v>176</v>
      </c>
      <c r="B35" s="10" t="s">
        <v>167</v>
      </c>
      <c r="C35" s="10" t="s">
        <v>94</v>
      </c>
      <c r="D35" s="11">
        <v>46060</v>
      </c>
      <c r="E35" s="10" t="s">
        <v>95</v>
      </c>
      <c r="F35" s="10" t="s">
        <v>103</v>
      </c>
      <c r="G35" s="12">
        <v>1567.9</v>
      </c>
      <c r="H35" s="14">
        <v>1119.1600000000001</v>
      </c>
      <c r="I35" s="12">
        <v>1119.1600000000001</v>
      </c>
      <c r="J35" s="10" t="s">
        <v>110</v>
      </c>
      <c r="K35" s="10"/>
      <c r="L35" s="10" t="s">
        <v>118</v>
      </c>
      <c r="M35" s="10" t="s">
        <v>136</v>
      </c>
      <c r="N35" s="10" t="s">
        <v>89</v>
      </c>
      <c r="O35" s="11">
        <v>46064</v>
      </c>
      <c r="P35" s="11">
        <v>46101</v>
      </c>
      <c r="Q35" s="17">
        <f>H35-I35</f>
        <v>0</v>
      </c>
      <c r="R35" s="18">
        <f>IF(P35="","",P35-O35)</f>
        <v>37</v>
      </c>
      <c r="S35" s="18" t="str">
        <f>_xlfn.XLOOKUP(C35,Providers!A:A,Providers!C:C,"Not Found")</f>
        <v>Primary Care</v>
      </c>
    </row>
    <row r="36" spans="1:19">
      <c r="A36" s="10" t="s">
        <v>177</v>
      </c>
      <c r="B36" s="10" t="s">
        <v>155</v>
      </c>
      <c r="C36" s="10" t="s">
        <v>108</v>
      </c>
      <c r="D36" s="11">
        <v>46060</v>
      </c>
      <c r="E36" s="10" t="s">
        <v>113</v>
      </c>
      <c r="F36" s="10" t="s">
        <v>96</v>
      </c>
      <c r="G36" s="12">
        <v>198.21</v>
      </c>
      <c r="H36" s="14">
        <v>149.21</v>
      </c>
      <c r="I36" s="12">
        <v>62.12</v>
      </c>
      <c r="J36" s="10" t="s">
        <v>85</v>
      </c>
      <c r="K36" s="10"/>
      <c r="L36" s="10" t="s">
        <v>118</v>
      </c>
      <c r="M36" s="10" t="s">
        <v>89</v>
      </c>
      <c r="N36" s="10" t="s">
        <v>89</v>
      </c>
      <c r="O36" s="11">
        <v>46061</v>
      </c>
      <c r="P36" s="11">
        <v>46081</v>
      </c>
      <c r="Q36" s="17">
        <f>H36-I36</f>
        <v>87.09</v>
      </c>
      <c r="R36" s="18">
        <f>IF(P36="","",P36-O36)</f>
        <v>20</v>
      </c>
      <c r="S36" s="18" t="str">
        <f>_xlfn.XLOOKUP(C36,Providers!A:A,Providers!C:C,"Not Found")</f>
        <v>Diagnostic Imaging</v>
      </c>
    </row>
    <row r="37" spans="1:19">
      <c r="A37" s="10" t="s">
        <v>178</v>
      </c>
      <c r="B37" s="10" t="s">
        <v>127</v>
      </c>
      <c r="C37" s="10" t="s">
        <v>156</v>
      </c>
      <c r="D37" s="11">
        <v>46077</v>
      </c>
      <c r="E37" s="10" t="s">
        <v>95</v>
      </c>
      <c r="F37" s="10" t="s">
        <v>103</v>
      </c>
      <c r="G37" s="12">
        <v>1320.22</v>
      </c>
      <c r="H37" s="14">
        <v>813.09</v>
      </c>
      <c r="I37" s="12">
        <v>599.41</v>
      </c>
      <c r="J37" s="10" t="s">
        <v>85</v>
      </c>
      <c r="K37" s="10"/>
      <c r="L37" s="10" t="s">
        <v>87</v>
      </c>
      <c r="M37" s="10" t="s">
        <v>89</v>
      </c>
      <c r="N37" s="10" t="s">
        <v>89</v>
      </c>
      <c r="O37" s="11">
        <v>46079</v>
      </c>
      <c r="P37" s="11">
        <v>46111</v>
      </c>
      <c r="Q37" s="17">
        <f>H37-I37</f>
        <v>213.68000000000006</v>
      </c>
      <c r="R37" s="18">
        <f>IF(P37="","",P37-O37)</f>
        <v>32</v>
      </c>
      <c r="S37" s="18" t="str">
        <f>_xlfn.XLOOKUP(C37,Providers!A:A,Providers!C:C,"Not Found")</f>
        <v>Internal Medicine</v>
      </c>
    </row>
    <row r="38" spans="1:19">
      <c r="A38" s="10" t="s">
        <v>179</v>
      </c>
      <c r="B38" s="10" t="s">
        <v>180</v>
      </c>
      <c r="C38" s="10" t="s">
        <v>156</v>
      </c>
      <c r="D38" s="11">
        <v>46030</v>
      </c>
      <c r="E38" s="10" t="s">
        <v>95</v>
      </c>
      <c r="F38" s="10" t="s">
        <v>96</v>
      </c>
      <c r="G38" s="12">
        <v>1287.99</v>
      </c>
      <c r="H38" s="14">
        <v>987.09</v>
      </c>
      <c r="I38" s="12">
        <v>767.48</v>
      </c>
      <c r="J38" s="10" t="s">
        <v>85</v>
      </c>
      <c r="K38" s="10"/>
      <c r="L38" s="10" t="s">
        <v>99</v>
      </c>
      <c r="M38" s="10" t="s">
        <v>88</v>
      </c>
      <c r="N38" s="10" t="s">
        <v>89</v>
      </c>
      <c r="O38" s="11">
        <v>46038</v>
      </c>
      <c r="P38" s="11">
        <v>46082</v>
      </c>
      <c r="Q38" s="17">
        <f>H38-I38</f>
        <v>219.61</v>
      </c>
      <c r="R38" s="18">
        <f>IF(P38="","",P38-O38)</f>
        <v>44</v>
      </c>
      <c r="S38" s="18" t="str">
        <f>_xlfn.XLOOKUP(C38,Providers!A:A,Providers!C:C,"Not Found")</f>
        <v>Internal Medicine</v>
      </c>
    </row>
    <row r="39" spans="1:19">
      <c r="A39" s="10" t="s">
        <v>181</v>
      </c>
      <c r="B39" s="10" t="s">
        <v>124</v>
      </c>
      <c r="C39" s="10" t="s">
        <v>156</v>
      </c>
      <c r="D39" s="11">
        <v>46044</v>
      </c>
      <c r="E39" s="10" t="s">
        <v>122</v>
      </c>
      <c r="F39" s="10" t="s">
        <v>151</v>
      </c>
      <c r="G39" s="12">
        <v>60.74</v>
      </c>
      <c r="H39" s="14">
        <v>37.46</v>
      </c>
      <c r="I39" s="12">
        <v>17.14</v>
      </c>
      <c r="J39" s="10" t="s">
        <v>85</v>
      </c>
      <c r="K39" s="10"/>
      <c r="L39" s="10" t="s">
        <v>105</v>
      </c>
      <c r="M39" s="10" t="s">
        <v>88</v>
      </c>
      <c r="N39" s="10" t="s">
        <v>89</v>
      </c>
      <c r="O39" s="11">
        <v>46052</v>
      </c>
      <c r="P39" s="11">
        <v>46061</v>
      </c>
      <c r="Q39" s="17">
        <f>H39-I39</f>
        <v>20.32</v>
      </c>
      <c r="R39" s="18">
        <f>IF(P39="","",P39-O39)</f>
        <v>9</v>
      </c>
      <c r="S39" s="18" t="str">
        <f>_xlfn.XLOOKUP(C39,Providers!A:A,Providers!C:C,"Not Found")</f>
        <v>Internal Medicine</v>
      </c>
    </row>
    <row r="40" spans="1:19">
      <c r="A40" s="10" t="s">
        <v>182</v>
      </c>
      <c r="B40" s="10" t="s">
        <v>167</v>
      </c>
      <c r="C40" s="10" t="s">
        <v>121</v>
      </c>
      <c r="D40" s="11">
        <v>46062</v>
      </c>
      <c r="E40" s="10" t="s">
        <v>148</v>
      </c>
      <c r="F40" s="10" t="s">
        <v>103</v>
      </c>
      <c r="G40" s="12">
        <v>138.44</v>
      </c>
      <c r="H40" s="14">
        <v>103.6</v>
      </c>
      <c r="I40" s="12">
        <v>0</v>
      </c>
      <c r="J40" s="10" t="s">
        <v>97</v>
      </c>
      <c r="K40" s="10" t="s">
        <v>157</v>
      </c>
      <c r="L40" s="10" t="s">
        <v>111</v>
      </c>
      <c r="M40" s="10" t="s">
        <v>89</v>
      </c>
      <c r="N40" s="10" t="s">
        <v>89</v>
      </c>
      <c r="O40" s="11">
        <v>46069</v>
      </c>
      <c r="P40" s="11">
        <v>46105</v>
      </c>
      <c r="Q40" s="17">
        <f>H40-I40</f>
        <v>103.6</v>
      </c>
      <c r="R40" s="18">
        <f>IF(P40="","",P40-O40)</f>
        <v>36</v>
      </c>
      <c r="S40" s="18" t="str">
        <f>_xlfn.XLOOKUP(C40,Providers!A:A,Providers!C:C,"Not Found")</f>
        <v>Sports Medicine</v>
      </c>
    </row>
    <row r="41" spans="1:19">
      <c r="A41" s="10" t="s">
        <v>183</v>
      </c>
      <c r="B41" s="10" t="s">
        <v>184</v>
      </c>
      <c r="C41" s="10" t="s">
        <v>125</v>
      </c>
      <c r="D41" s="11">
        <v>46031</v>
      </c>
      <c r="E41" s="10" t="s">
        <v>95</v>
      </c>
      <c r="F41" s="10" t="s">
        <v>103</v>
      </c>
      <c r="G41" s="12">
        <v>1231.06</v>
      </c>
      <c r="H41" s="14">
        <v>932.95</v>
      </c>
      <c r="I41" s="12">
        <v>0</v>
      </c>
      <c r="J41" s="10" t="s">
        <v>162</v>
      </c>
      <c r="K41" s="10"/>
      <c r="L41" s="10" t="s">
        <v>118</v>
      </c>
      <c r="M41" s="10" t="s">
        <v>89</v>
      </c>
      <c r="N41" s="10" t="s">
        <v>89</v>
      </c>
      <c r="O41" s="11">
        <v>46038</v>
      </c>
      <c r="P41" s="11"/>
      <c r="Q41" s="17">
        <f>H41-I41</f>
        <v>932.95</v>
      </c>
      <c r="R41" s="18" t="str">
        <f>IF(P41="","",P41-O41)</f>
        <v/>
      </c>
      <c r="S41" s="18" t="str">
        <f>_xlfn.XLOOKUP(C41,Providers!A:A,Providers!C:C,"Not Found")</f>
        <v>Orthopedics</v>
      </c>
    </row>
    <row r="42" spans="1:19">
      <c r="A42" s="10" t="s">
        <v>185</v>
      </c>
      <c r="B42" s="10" t="s">
        <v>138</v>
      </c>
      <c r="C42" s="10" t="s">
        <v>94</v>
      </c>
      <c r="D42" s="11">
        <v>46066</v>
      </c>
      <c r="E42" s="10" t="s">
        <v>113</v>
      </c>
      <c r="F42" s="10" t="s">
        <v>96</v>
      </c>
      <c r="G42" s="12">
        <v>116.6</v>
      </c>
      <c r="H42" s="14">
        <v>71.41</v>
      </c>
      <c r="I42" s="12">
        <v>0</v>
      </c>
      <c r="J42" s="10" t="s">
        <v>97</v>
      </c>
      <c r="K42" s="10" t="s">
        <v>104</v>
      </c>
      <c r="L42" s="10" t="s">
        <v>99</v>
      </c>
      <c r="M42" s="10" t="s">
        <v>88</v>
      </c>
      <c r="N42" s="10" t="s">
        <v>89</v>
      </c>
      <c r="O42" s="11">
        <v>46073</v>
      </c>
      <c r="P42" s="11">
        <v>46099</v>
      </c>
      <c r="Q42" s="17">
        <f>H42-I42</f>
        <v>71.41</v>
      </c>
      <c r="R42" s="18">
        <f>IF(P42="","",P42-O42)</f>
        <v>26</v>
      </c>
      <c r="S42" s="18" t="str">
        <f>_xlfn.XLOOKUP(C42,Providers!A:A,Providers!C:C,"Not Found")</f>
        <v>Primary Care</v>
      </c>
    </row>
    <row r="43" spans="1:19">
      <c r="A43" s="10" t="s">
        <v>186</v>
      </c>
      <c r="B43" s="10" t="s">
        <v>107</v>
      </c>
      <c r="C43" s="10" t="s">
        <v>121</v>
      </c>
      <c r="D43" s="11">
        <v>46109</v>
      </c>
      <c r="E43" s="10" t="s">
        <v>148</v>
      </c>
      <c r="F43" s="10" t="s">
        <v>114</v>
      </c>
      <c r="G43" s="12">
        <v>165.65</v>
      </c>
      <c r="H43" s="14">
        <v>132.22999999999999</v>
      </c>
      <c r="I43" s="12">
        <v>0</v>
      </c>
      <c r="J43" s="10" t="s">
        <v>162</v>
      </c>
      <c r="K43" s="10"/>
      <c r="L43" s="10" t="s">
        <v>99</v>
      </c>
      <c r="M43" s="10" t="s">
        <v>88</v>
      </c>
      <c r="N43" s="10" t="s">
        <v>89</v>
      </c>
      <c r="O43" s="11">
        <v>46116</v>
      </c>
      <c r="P43" s="11"/>
      <c r="Q43" s="17">
        <f>H43-I43</f>
        <v>132.22999999999999</v>
      </c>
      <c r="R43" s="18" t="str">
        <f>IF(P43="","",P43-O43)</f>
        <v/>
      </c>
      <c r="S43" s="18" t="str">
        <f>_xlfn.XLOOKUP(C43,Providers!A:A,Providers!C:C,"Not Found")</f>
        <v>Sports Medicine</v>
      </c>
    </row>
    <row r="44" spans="1:19">
      <c r="A44" s="10" t="s">
        <v>187</v>
      </c>
      <c r="B44" s="10" t="s">
        <v>188</v>
      </c>
      <c r="C44" s="10" t="s">
        <v>108</v>
      </c>
      <c r="D44" s="11">
        <v>46106</v>
      </c>
      <c r="E44" s="10" t="s">
        <v>148</v>
      </c>
      <c r="F44" s="10" t="s">
        <v>114</v>
      </c>
      <c r="G44" s="12">
        <v>168.02</v>
      </c>
      <c r="H44" s="14">
        <v>100.66</v>
      </c>
      <c r="I44" s="12">
        <v>100.66</v>
      </c>
      <c r="J44" s="10" t="s">
        <v>110</v>
      </c>
      <c r="K44" s="10"/>
      <c r="L44" s="10" t="s">
        <v>118</v>
      </c>
      <c r="M44" s="10" t="s">
        <v>136</v>
      </c>
      <c r="N44" s="10" t="s">
        <v>89</v>
      </c>
      <c r="O44" s="11">
        <v>46112</v>
      </c>
      <c r="P44" s="11">
        <v>46138</v>
      </c>
      <c r="Q44" s="17">
        <f>H44-I44</f>
        <v>0</v>
      </c>
      <c r="R44" s="18">
        <f>IF(P44="","",P44-O44)</f>
        <v>26</v>
      </c>
      <c r="S44" s="18" t="str">
        <f>_xlfn.XLOOKUP(C44,Providers!A:A,Providers!C:C,"Not Found")</f>
        <v>Diagnostic Imaging</v>
      </c>
    </row>
    <row r="45" spans="1:19">
      <c r="A45" s="10" t="s">
        <v>189</v>
      </c>
      <c r="B45" s="10" t="s">
        <v>93</v>
      </c>
      <c r="C45" s="10" t="s">
        <v>125</v>
      </c>
      <c r="D45" s="11">
        <v>46056</v>
      </c>
      <c r="E45" s="10" t="s">
        <v>144</v>
      </c>
      <c r="F45" s="10" t="s">
        <v>151</v>
      </c>
      <c r="G45" s="12">
        <v>917.44</v>
      </c>
      <c r="H45" s="14">
        <v>638.21</v>
      </c>
      <c r="I45" s="12">
        <v>0</v>
      </c>
      <c r="J45" s="10" t="s">
        <v>162</v>
      </c>
      <c r="K45" s="10"/>
      <c r="L45" s="10" t="s">
        <v>111</v>
      </c>
      <c r="M45" s="10" t="s">
        <v>136</v>
      </c>
      <c r="N45" s="10" t="s">
        <v>89</v>
      </c>
      <c r="O45" s="11">
        <v>46058</v>
      </c>
      <c r="P45" s="11"/>
      <c r="Q45" s="17">
        <f>H45-I45</f>
        <v>638.21</v>
      </c>
      <c r="R45" s="18" t="str">
        <f>IF(P45="","",P45-O45)</f>
        <v/>
      </c>
      <c r="S45" s="18" t="str">
        <f>_xlfn.XLOOKUP(C45,Providers!A:A,Providers!C:C,"Not Found")</f>
        <v>Orthopedics</v>
      </c>
    </row>
    <row r="46" spans="1:19">
      <c r="A46" s="10" t="s">
        <v>190</v>
      </c>
      <c r="B46" s="10" t="s">
        <v>188</v>
      </c>
      <c r="C46" s="10" t="s">
        <v>102</v>
      </c>
      <c r="D46" s="11">
        <v>46049</v>
      </c>
      <c r="E46" s="10" t="s">
        <v>191</v>
      </c>
      <c r="F46" s="10" t="s">
        <v>114</v>
      </c>
      <c r="G46" s="12">
        <v>148.63</v>
      </c>
      <c r="H46" s="14">
        <v>100.75</v>
      </c>
      <c r="I46" s="12">
        <v>100.75</v>
      </c>
      <c r="J46" s="10" t="s">
        <v>110</v>
      </c>
      <c r="K46" s="10"/>
      <c r="L46" s="10" t="s">
        <v>87</v>
      </c>
      <c r="M46" s="10" t="s">
        <v>89</v>
      </c>
      <c r="N46" s="10" t="s">
        <v>89</v>
      </c>
      <c r="O46" s="11">
        <v>46054</v>
      </c>
      <c r="P46" s="11">
        <v>46082</v>
      </c>
      <c r="Q46" s="17">
        <f>H46-I46</f>
        <v>0</v>
      </c>
      <c r="R46" s="18">
        <f>IF(P46="","",P46-O46)</f>
        <v>28</v>
      </c>
      <c r="S46" s="18" t="str">
        <f>_xlfn.XLOOKUP(C46,Providers!A:A,Providers!C:C,"Not Found")</f>
        <v>Neurology</v>
      </c>
    </row>
    <row r="47" spans="1:19">
      <c r="A47" s="10" t="s">
        <v>192</v>
      </c>
      <c r="B47" s="10" t="s">
        <v>77</v>
      </c>
      <c r="C47" s="10" t="s">
        <v>133</v>
      </c>
      <c r="D47" s="11">
        <v>46063</v>
      </c>
      <c r="E47" s="10" t="s">
        <v>144</v>
      </c>
      <c r="F47" s="10" t="s">
        <v>135</v>
      </c>
      <c r="G47" s="12">
        <v>1736</v>
      </c>
      <c r="H47" s="14">
        <v>1224.69</v>
      </c>
      <c r="I47" s="12">
        <v>0</v>
      </c>
      <c r="J47" s="10" t="s">
        <v>162</v>
      </c>
      <c r="K47" s="10"/>
      <c r="L47" s="10" t="s">
        <v>111</v>
      </c>
      <c r="M47" s="10" t="s">
        <v>136</v>
      </c>
      <c r="N47" s="10" t="s">
        <v>89</v>
      </c>
      <c r="O47" s="11">
        <v>46067</v>
      </c>
      <c r="P47" s="11"/>
      <c r="Q47" s="17">
        <f>H47-I47</f>
        <v>1224.69</v>
      </c>
      <c r="R47" s="18" t="str">
        <f>IF(P47="","",P47-O47)</f>
        <v/>
      </c>
      <c r="S47" s="18" t="str">
        <f>_xlfn.XLOOKUP(C47,Providers!A:A,Providers!C:C,"Not Found")</f>
        <v>Orthopedics</v>
      </c>
    </row>
    <row r="48" spans="1:19">
      <c r="A48" s="10" t="s">
        <v>193</v>
      </c>
      <c r="B48" s="10" t="s">
        <v>138</v>
      </c>
      <c r="C48" s="10" t="s">
        <v>108</v>
      </c>
      <c r="D48" s="11">
        <v>46113</v>
      </c>
      <c r="E48" s="10" t="s">
        <v>80</v>
      </c>
      <c r="F48" s="10" t="s">
        <v>96</v>
      </c>
      <c r="G48" s="12">
        <v>355.17</v>
      </c>
      <c r="H48" s="14">
        <v>249.61</v>
      </c>
      <c r="I48" s="12">
        <v>249.61</v>
      </c>
      <c r="J48" s="10" t="s">
        <v>110</v>
      </c>
      <c r="K48" s="10"/>
      <c r="L48" s="10" t="s">
        <v>99</v>
      </c>
      <c r="M48" s="10" t="s">
        <v>88</v>
      </c>
      <c r="N48" s="10" t="s">
        <v>89</v>
      </c>
      <c r="O48" s="11">
        <v>46119</v>
      </c>
      <c r="P48" s="11">
        <v>46128</v>
      </c>
      <c r="Q48" s="17">
        <f>H48-I48</f>
        <v>0</v>
      </c>
      <c r="R48" s="18">
        <f>IF(P48="","",P48-O48)</f>
        <v>9</v>
      </c>
      <c r="S48" s="18" t="str">
        <f>_xlfn.XLOOKUP(C48,Providers!A:A,Providers!C:C,"Not Found")</f>
        <v>Diagnostic Imaging</v>
      </c>
    </row>
    <row r="49" spans="1:19">
      <c r="A49" s="10" t="s">
        <v>194</v>
      </c>
      <c r="B49" s="10" t="s">
        <v>195</v>
      </c>
      <c r="C49" s="10" t="s">
        <v>102</v>
      </c>
      <c r="D49" s="11">
        <v>46121</v>
      </c>
      <c r="E49" s="10" t="s">
        <v>113</v>
      </c>
      <c r="F49" s="10" t="s">
        <v>96</v>
      </c>
      <c r="G49" s="12">
        <v>111.13</v>
      </c>
      <c r="H49" s="14">
        <v>64.02</v>
      </c>
      <c r="I49" s="12">
        <v>0</v>
      </c>
      <c r="J49" s="10" t="s">
        <v>97</v>
      </c>
      <c r="K49" s="10" t="s">
        <v>117</v>
      </c>
      <c r="L49" s="10" t="s">
        <v>111</v>
      </c>
      <c r="M49" s="10" t="s">
        <v>88</v>
      </c>
      <c r="N49" s="10" t="s">
        <v>89</v>
      </c>
      <c r="O49" s="11">
        <v>46129</v>
      </c>
      <c r="P49" s="11">
        <v>46168</v>
      </c>
      <c r="Q49" s="17">
        <f>H49-I49</f>
        <v>64.02</v>
      </c>
      <c r="R49" s="18">
        <f>IF(P49="","",P49-O49)</f>
        <v>39</v>
      </c>
      <c r="S49" s="18" t="str">
        <f>_xlfn.XLOOKUP(C49,Providers!A:A,Providers!C:C,"Not Found")</f>
        <v>Neurology</v>
      </c>
    </row>
    <row r="50" spans="1:19">
      <c r="A50" s="10" t="s">
        <v>196</v>
      </c>
      <c r="B50" s="10" t="s">
        <v>93</v>
      </c>
      <c r="C50" s="10" t="s">
        <v>156</v>
      </c>
      <c r="D50" s="11">
        <v>46083</v>
      </c>
      <c r="E50" s="10" t="s">
        <v>148</v>
      </c>
      <c r="F50" s="10" t="s">
        <v>128</v>
      </c>
      <c r="G50" s="12">
        <v>119.01</v>
      </c>
      <c r="H50" s="14">
        <v>73.34</v>
      </c>
      <c r="I50" s="12">
        <v>0</v>
      </c>
      <c r="J50" s="10" t="s">
        <v>162</v>
      </c>
      <c r="K50" s="10"/>
      <c r="L50" s="10" t="s">
        <v>118</v>
      </c>
      <c r="M50" s="10" t="s">
        <v>136</v>
      </c>
      <c r="N50" s="10" t="s">
        <v>89</v>
      </c>
      <c r="O50" s="11">
        <v>46087</v>
      </c>
      <c r="P50" s="11"/>
      <c r="Q50" s="17">
        <f>H50-I50</f>
        <v>73.34</v>
      </c>
      <c r="R50" s="18" t="str">
        <f>IF(P50="","",P50-O50)</f>
        <v/>
      </c>
      <c r="S50" s="18" t="str">
        <f>_xlfn.XLOOKUP(C50,Providers!A:A,Providers!C:C,"Not Found")</f>
        <v>Internal Medicine</v>
      </c>
    </row>
    <row r="51" spans="1:19">
      <c r="A51" s="10" t="s">
        <v>197</v>
      </c>
      <c r="B51" s="10" t="s">
        <v>153</v>
      </c>
      <c r="C51" s="10" t="s">
        <v>94</v>
      </c>
      <c r="D51" s="11">
        <v>46113</v>
      </c>
      <c r="E51" s="10" t="s">
        <v>122</v>
      </c>
      <c r="F51" s="10" t="s">
        <v>96</v>
      </c>
      <c r="G51" s="12">
        <v>94.99</v>
      </c>
      <c r="H51" s="14">
        <v>75.94</v>
      </c>
      <c r="I51" s="12">
        <v>0</v>
      </c>
      <c r="J51" s="10" t="s">
        <v>97</v>
      </c>
      <c r="K51" s="10" t="s">
        <v>98</v>
      </c>
      <c r="L51" s="10" t="s">
        <v>99</v>
      </c>
      <c r="M51" s="10" t="s">
        <v>88</v>
      </c>
      <c r="N51" s="10" t="s">
        <v>89</v>
      </c>
      <c r="O51" s="11">
        <v>46120</v>
      </c>
      <c r="P51" s="11">
        <v>46132</v>
      </c>
      <c r="Q51" s="17">
        <f>H51-I51</f>
        <v>75.94</v>
      </c>
      <c r="R51" s="18">
        <f>IF(P51="","",P51-O51)</f>
        <v>12</v>
      </c>
      <c r="S51" s="18" t="str">
        <f>_xlfn.XLOOKUP(C51,Providers!A:A,Providers!C:C,"Not Found")</f>
        <v>Primary Care</v>
      </c>
    </row>
    <row r="52" spans="1:19">
      <c r="A52" s="10" t="s">
        <v>198</v>
      </c>
      <c r="B52" s="10" t="s">
        <v>138</v>
      </c>
      <c r="C52" s="10" t="s">
        <v>94</v>
      </c>
      <c r="D52" s="11">
        <v>46109</v>
      </c>
      <c r="E52" s="10" t="s">
        <v>122</v>
      </c>
      <c r="F52" s="10" t="s">
        <v>81</v>
      </c>
      <c r="G52" s="12">
        <v>83.14</v>
      </c>
      <c r="H52" s="14">
        <v>61.96</v>
      </c>
      <c r="I52" s="12">
        <v>0</v>
      </c>
      <c r="J52" s="10" t="s">
        <v>97</v>
      </c>
      <c r="K52" s="10" t="s">
        <v>104</v>
      </c>
      <c r="L52" s="10" t="s">
        <v>111</v>
      </c>
      <c r="M52" s="10" t="s">
        <v>88</v>
      </c>
      <c r="N52" s="10" t="s">
        <v>89</v>
      </c>
      <c r="O52" s="11">
        <v>46116</v>
      </c>
      <c r="P52" s="11">
        <v>46133</v>
      </c>
      <c r="Q52" s="17">
        <f>H52-I52</f>
        <v>61.96</v>
      </c>
      <c r="R52" s="18">
        <f>IF(P52="","",P52-O52)</f>
        <v>17</v>
      </c>
      <c r="S52" s="18" t="str">
        <f>_xlfn.XLOOKUP(C52,Providers!A:A,Providers!C:C,"Not Found")</f>
        <v>Primary Care</v>
      </c>
    </row>
    <row r="53" spans="1:19">
      <c r="A53" s="10" t="s">
        <v>199</v>
      </c>
      <c r="B53" s="10" t="s">
        <v>130</v>
      </c>
      <c r="C53" s="10" t="s">
        <v>125</v>
      </c>
      <c r="D53" s="11">
        <v>46112</v>
      </c>
      <c r="E53" s="10" t="s">
        <v>95</v>
      </c>
      <c r="F53" s="10" t="s">
        <v>128</v>
      </c>
      <c r="G53" s="12">
        <v>1464.37</v>
      </c>
      <c r="H53" s="14">
        <v>951.31</v>
      </c>
      <c r="I53" s="12">
        <v>652.29</v>
      </c>
      <c r="J53" s="10" t="s">
        <v>85</v>
      </c>
      <c r="K53" s="10"/>
      <c r="L53" s="10" t="s">
        <v>118</v>
      </c>
      <c r="M53" s="10" t="s">
        <v>136</v>
      </c>
      <c r="N53" s="10" t="s">
        <v>89</v>
      </c>
      <c r="O53" s="11">
        <v>46118</v>
      </c>
      <c r="P53" s="11">
        <v>46145</v>
      </c>
      <c r="Q53" s="17">
        <f>H53-I53</f>
        <v>299.02</v>
      </c>
      <c r="R53" s="18">
        <f>IF(P53="","",P53-O53)</f>
        <v>27</v>
      </c>
      <c r="S53" s="18" t="str">
        <f>_xlfn.XLOOKUP(C53,Providers!A:A,Providers!C:C,"Not Found")</f>
        <v>Orthopedics</v>
      </c>
    </row>
    <row r="54" spans="1:19">
      <c r="A54" s="10" t="s">
        <v>200</v>
      </c>
      <c r="B54" s="10" t="s">
        <v>141</v>
      </c>
      <c r="C54" s="10" t="s">
        <v>78</v>
      </c>
      <c r="D54" s="11">
        <v>46077</v>
      </c>
      <c r="E54" s="10" t="s">
        <v>122</v>
      </c>
      <c r="F54" s="10" t="s">
        <v>96</v>
      </c>
      <c r="G54" s="12">
        <v>74.680000000000007</v>
      </c>
      <c r="H54" s="14">
        <v>48.38</v>
      </c>
      <c r="I54" s="12">
        <v>0</v>
      </c>
      <c r="J54" s="10" t="s">
        <v>97</v>
      </c>
      <c r="K54" s="10" t="s">
        <v>145</v>
      </c>
      <c r="L54" s="10" t="s">
        <v>99</v>
      </c>
      <c r="M54" s="10" t="s">
        <v>136</v>
      </c>
      <c r="N54" s="10" t="s">
        <v>89</v>
      </c>
      <c r="O54" s="11">
        <v>46084</v>
      </c>
      <c r="P54" s="11">
        <v>46100</v>
      </c>
      <c r="Q54" s="17">
        <f>H54-I54</f>
        <v>48.38</v>
      </c>
      <c r="R54" s="18">
        <f>IF(P54="","",P54-O54)</f>
        <v>16</v>
      </c>
      <c r="S54" s="18" t="str">
        <f>_xlfn.XLOOKUP(C54,Providers!A:A,Providers!C:C,"Not Found")</f>
        <v>Primary Care</v>
      </c>
    </row>
    <row r="55" spans="1:19">
      <c r="A55" s="10" t="s">
        <v>201</v>
      </c>
      <c r="B55" s="10" t="s">
        <v>101</v>
      </c>
      <c r="C55" s="10" t="s">
        <v>94</v>
      </c>
      <c r="D55" s="11">
        <v>46036</v>
      </c>
      <c r="E55" s="10" t="s">
        <v>95</v>
      </c>
      <c r="F55" s="10" t="s">
        <v>128</v>
      </c>
      <c r="G55" s="12">
        <v>1093.3599999999999</v>
      </c>
      <c r="H55" s="14">
        <v>654.32000000000005</v>
      </c>
      <c r="I55" s="12">
        <v>654.32000000000005</v>
      </c>
      <c r="J55" s="10" t="s">
        <v>110</v>
      </c>
      <c r="K55" s="10"/>
      <c r="L55" s="10" t="s">
        <v>99</v>
      </c>
      <c r="M55" s="10" t="s">
        <v>88</v>
      </c>
      <c r="N55" s="10" t="s">
        <v>89</v>
      </c>
      <c r="O55" s="11">
        <v>46037</v>
      </c>
      <c r="P55" s="11">
        <v>46045</v>
      </c>
      <c r="Q55" s="17">
        <f>H55-I55</f>
        <v>0</v>
      </c>
      <c r="R55" s="18">
        <f>IF(P55="","",P55-O55)</f>
        <v>8</v>
      </c>
      <c r="S55" s="18" t="str">
        <f>_xlfn.XLOOKUP(C55,Providers!A:A,Providers!C:C,"Not Found")</f>
        <v>Primary Care</v>
      </c>
    </row>
    <row r="56" spans="1:19">
      <c r="A56" s="10" t="s">
        <v>202</v>
      </c>
      <c r="B56" s="10" t="s">
        <v>153</v>
      </c>
      <c r="C56" s="10" t="s">
        <v>133</v>
      </c>
      <c r="D56" s="11">
        <v>46105</v>
      </c>
      <c r="E56" s="10" t="s">
        <v>122</v>
      </c>
      <c r="F56" s="10" t="s">
        <v>96</v>
      </c>
      <c r="G56" s="12">
        <v>109.82</v>
      </c>
      <c r="H56" s="14">
        <v>77.42</v>
      </c>
      <c r="I56" s="12">
        <v>60.73</v>
      </c>
      <c r="J56" s="10" t="s">
        <v>85</v>
      </c>
      <c r="K56" s="10"/>
      <c r="L56" s="10" t="s">
        <v>111</v>
      </c>
      <c r="M56" s="10" t="s">
        <v>136</v>
      </c>
      <c r="N56" s="10" t="s">
        <v>89</v>
      </c>
      <c r="O56" s="11">
        <v>46110</v>
      </c>
      <c r="P56" s="11">
        <v>46145</v>
      </c>
      <c r="Q56" s="17">
        <f>H56-I56</f>
        <v>16.690000000000005</v>
      </c>
      <c r="R56" s="18">
        <f>IF(P56="","",P56-O56)</f>
        <v>35</v>
      </c>
      <c r="S56" s="18" t="str">
        <f>_xlfn.XLOOKUP(C56,Providers!A:A,Providers!C:C,"Not Found")</f>
        <v>Orthopedics</v>
      </c>
    </row>
    <row r="57" spans="1:19">
      <c r="A57" s="10" t="s">
        <v>203</v>
      </c>
      <c r="B57" s="10" t="s">
        <v>127</v>
      </c>
      <c r="C57" s="10" t="s">
        <v>125</v>
      </c>
      <c r="D57" s="11">
        <v>46086</v>
      </c>
      <c r="E57" s="10" t="s">
        <v>144</v>
      </c>
      <c r="F57" s="10" t="s">
        <v>135</v>
      </c>
      <c r="G57" s="12">
        <v>1036.55</v>
      </c>
      <c r="H57" s="14">
        <v>797.12</v>
      </c>
      <c r="I57" s="12">
        <v>0</v>
      </c>
      <c r="J57" s="10" t="s">
        <v>162</v>
      </c>
      <c r="K57" s="10"/>
      <c r="L57" s="10" t="s">
        <v>99</v>
      </c>
      <c r="M57" s="10" t="s">
        <v>89</v>
      </c>
      <c r="N57" s="10" t="s">
        <v>136</v>
      </c>
      <c r="O57" s="11">
        <v>46088</v>
      </c>
      <c r="P57" s="11"/>
      <c r="Q57" s="17">
        <f>H57-I57</f>
        <v>797.12</v>
      </c>
      <c r="R57" s="18" t="str">
        <f>IF(P57="","",P57-O57)</f>
        <v/>
      </c>
      <c r="S57" s="18" t="str">
        <f>_xlfn.XLOOKUP(C57,Providers!A:A,Providers!C:C,"Not Found")</f>
        <v>Orthopedics</v>
      </c>
    </row>
    <row r="58" spans="1:19">
      <c r="A58" s="10" t="s">
        <v>204</v>
      </c>
      <c r="B58" s="10" t="s">
        <v>170</v>
      </c>
      <c r="C58" s="10" t="s">
        <v>102</v>
      </c>
      <c r="D58" s="11">
        <v>46123</v>
      </c>
      <c r="E58" s="10" t="s">
        <v>148</v>
      </c>
      <c r="F58" s="10" t="s">
        <v>151</v>
      </c>
      <c r="G58" s="12">
        <v>171.77</v>
      </c>
      <c r="H58" s="14">
        <v>108.26</v>
      </c>
      <c r="I58" s="12">
        <v>68.150000000000006</v>
      </c>
      <c r="J58" s="10" t="s">
        <v>85</v>
      </c>
      <c r="K58" s="10"/>
      <c r="L58" s="10" t="s">
        <v>87</v>
      </c>
      <c r="M58" s="10" t="s">
        <v>136</v>
      </c>
      <c r="N58" s="10" t="s">
        <v>89</v>
      </c>
      <c r="O58" s="11">
        <v>46125</v>
      </c>
      <c r="P58" s="11">
        <v>46143</v>
      </c>
      <c r="Q58" s="17">
        <f>H58-I58</f>
        <v>40.11</v>
      </c>
      <c r="R58" s="18">
        <f>IF(P58="","",P58-O58)</f>
        <v>18</v>
      </c>
      <c r="S58" s="18" t="str">
        <f>_xlfn.XLOOKUP(C58,Providers!A:A,Providers!C:C,"Not Found")</f>
        <v>Neurology</v>
      </c>
    </row>
    <row r="59" spans="1:19">
      <c r="A59" s="10" t="s">
        <v>205</v>
      </c>
      <c r="B59" s="10" t="s">
        <v>165</v>
      </c>
      <c r="C59" s="10" t="s">
        <v>108</v>
      </c>
      <c r="D59" s="11">
        <v>46044</v>
      </c>
      <c r="E59" s="10" t="s">
        <v>95</v>
      </c>
      <c r="F59" s="10" t="s">
        <v>114</v>
      </c>
      <c r="G59" s="12">
        <v>1369.19</v>
      </c>
      <c r="H59" s="14">
        <v>810.92</v>
      </c>
      <c r="I59" s="12">
        <v>810.92</v>
      </c>
      <c r="J59" s="10" t="s">
        <v>110</v>
      </c>
      <c r="K59" s="10"/>
      <c r="L59" s="10" t="s">
        <v>87</v>
      </c>
      <c r="M59" s="10" t="s">
        <v>88</v>
      </c>
      <c r="N59" s="10" t="s">
        <v>89</v>
      </c>
      <c r="O59" s="11">
        <v>46049</v>
      </c>
      <c r="P59" s="11">
        <v>46056</v>
      </c>
      <c r="Q59" s="17">
        <f>H59-I59</f>
        <v>0</v>
      </c>
      <c r="R59" s="18">
        <f>IF(P59="","",P59-O59)</f>
        <v>7</v>
      </c>
      <c r="S59" s="18" t="str">
        <f>_xlfn.XLOOKUP(C59,Providers!A:A,Providers!C:C,"Not Found")</f>
        <v>Diagnostic Imaging</v>
      </c>
    </row>
    <row r="60" spans="1:19">
      <c r="A60" s="10" t="s">
        <v>206</v>
      </c>
      <c r="B60" s="10" t="s">
        <v>107</v>
      </c>
      <c r="C60" s="10" t="s">
        <v>121</v>
      </c>
      <c r="D60" s="11">
        <v>46027</v>
      </c>
      <c r="E60" s="10" t="s">
        <v>122</v>
      </c>
      <c r="F60" s="10" t="s">
        <v>109</v>
      </c>
      <c r="G60" s="12">
        <v>54.55</v>
      </c>
      <c r="H60" s="14">
        <v>33.130000000000003</v>
      </c>
      <c r="I60" s="12">
        <v>0</v>
      </c>
      <c r="J60" s="10" t="s">
        <v>97</v>
      </c>
      <c r="K60" s="10" t="s">
        <v>145</v>
      </c>
      <c r="L60" s="10" t="s">
        <v>111</v>
      </c>
      <c r="M60" s="10" t="s">
        <v>136</v>
      </c>
      <c r="N60" s="10" t="s">
        <v>89</v>
      </c>
      <c r="O60" s="11">
        <v>46032</v>
      </c>
      <c r="P60" s="11">
        <v>46072</v>
      </c>
      <c r="Q60" s="17">
        <f>H60-I60</f>
        <v>33.130000000000003</v>
      </c>
      <c r="R60" s="18">
        <f>IF(P60="","",P60-O60)</f>
        <v>40</v>
      </c>
      <c r="S60" s="18" t="str">
        <f>_xlfn.XLOOKUP(C60,Providers!A:A,Providers!C:C,"Not Found")</f>
        <v>Sports Medicine</v>
      </c>
    </row>
    <row r="61" spans="1:19">
      <c r="A61" s="10" t="s">
        <v>207</v>
      </c>
      <c r="B61" s="10" t="s">
        <v>130</v>
      </c>
      <c r="C61" s="10" t="s">
        <v>133</v>
      </c>
      <c r="D61" s="11">
        <v>46058</v>
      </c>
      <c r="E61" s="10" t="s">
        <v>134</v>
      </c>
      <c r="F61" s="10" t="s">
        <v>96</v>
      </c>
      <c r="G61" s="12">
        <v>1006.66</v>
      </c>
      <c r="H61" s="14">
        <v>769.1</v>
      </c>
      <c r="I61" s="12">
        <v>421.17</v>
      </c>
      <c r="J61" s="10" t="s">
        <v>85</v>
      </c>
      <c r="K61" s="10"/>
      <c r="L61" s="10" t="s">
        <v>118</v>
      </c>
      <c r="M61" s="10" t="s">
        <v>88</v>
      </c>
      <c r="N61" s="10" t="s">
        <v>136</v>
      </c>
      <c r="O61" s="11">
        <v>46066</v>
      </c>
      <c r="P61" s="11">
        <v>46090</v>
      </c>
      <c r="Q61" s="17">
        <f t="shared" ref="Q34:Q61" si="1">H61-I61</f>
        <v>347.93</v>
      </c>
      <c r="R61" s="18">
        <f t="shared" ref="R34:R61" si="2">IF(P61="","",P61-O61)</f>
        <v>24</v>
      </c>
      <c r="S61" s="18" t="str">
        <f>_xlfn.XLOOKUP(C61,Providers!A:A,Providers!C:C,"Not Found")</f>
        <v>Orthopedics</v>
      </c>
    </row>
  </sheetData>
  <conditionalFormatting sqref="J2:J61">
    <cfRule type="expression" dxfId="25" priority="5">
      <formula>J2="Denied"</formula>
    </cfRule>
    <cfRule type="expression" dxfId="24" priority="6">
      <formula>J2="Paid"</formula>
    </cfRule>
  </conditionalFormatting>
  <conditionalFormatting sqref="J2:J61">
    <cfRule type="containsText" dxfId="23" priority="4" operator="containsText" text="Denied">
      <formula>NOT(ISERROR(SEARCH("Denied",J2)))</formula>
    </cfRule>
  </conditionalFormatting>
  <conditionalFormatting sqref="Q3:Q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{503B63AF-5A88-4FC9-9DD2-D8C6AED5C585}</x14:id>
        </ext>
      </extLst>
    </cfRule>
  </conditionalFormatting>
  <conditionalFormatting sqref="Q3:Q6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{55EB032E-CF0F-4A35-809B-5E375E346090}</x14:id>
        </ext>
      </extLst>
    </cfRule>
  </conditionalFormatting>
  <conditionalFormatting sqref="R2:R61">
    <cfRule type="cellIs" dxfId="22" priority="1" operator="greaterThan">
      <formula>30</formula>
    </cfRule>
  </conditionalFormatting>
  <dataValidations count="1">
    <dataValidation type="list" sqref="J2:J61" xr:uid="{00000000-0002-0000-0100-000000000000}">
      <formula1>"Paid,Partial,Denied,Pending"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B63AF-5A88-4FC9-9DD2-D8C6AED5C5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Q3:Q61</xm:sqref>
        </x14:conditionalFormatting>
        <x14:conditionalFormatting xmlns:xm="http://schemas.microsoft.com/office/excel/2006/main">
          <x14:cfRule type="dataBar" id="{55EB032E-CF0F-4A35-809B-5E375E3460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Q3:Q61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 activeCell="A13" sqref="A13"/>
    </sheetView>
  </sheetViews>
  <sheetFormatPr defaultRowHeight="15"/>
  <cols>
    <col min="1" max="1" width="9.625" customWidth="1"/>
    <col min="2" max="2" width="21.625" customWidth="1"/>
    <col min="3" max="3" width="14.625" customWidth="1"/>
    <col min="4" max="4" width="8.375" customWidth="1"/>
  </cols>
  <sheetData>
    <row r="1" spans="1:4">
      <c r="A1" s="4" t="s">
        <v>59</v>
      </c>
      <c r="B1" s="4" t="s">
        <v>208</v>
      </c>
      <c r="C1" s="4" t="s">
        <v>209</v>
      </c>
      <c r="D1" s="4" t="s">
        <v>210</v>
      </c>
    </row>
    <row r="2" spans="1:4">
      <c r="A2" t="s">
        <v>78</v>
      </c>
      <c r="B2" t="s">
        <v>211</v>
      </c>
      <c r="C2" t="s">
        <v>212</v>
      </c>
      <c r="D2" t="s">
        <v>213</v>
      </c>
    </row>
    <row r="3" spans="1:4">
      <c r="A3" t="s">
        <v>108</v>
      </c>
      <c r="B3" t="s">
        <v>214</v>
      </c>
      <c r="C3" t="s">
        <v>215</v>
      </c>
      <c r="D3" t="s">
        <v>213</v>
      </c>
    </row>
    <row r="4" spans="1:4">
      <c r="A4" t="s">
        <v>133</v>
      </c>
      <c r="B4" t="s">
        <v>216</v>
      </c>
      <c r="C4" t="s">
        <v>217</v>
      </c>
      <c r="D4" t="s">
        <v>213</v>
      </c>
    </row>
    <row r="5" spans="1:4">
      <c r="A5" t="s">
        <v>102</v>
      </c>
      <c r="B5" t="s">
        <v>218</v>
      </c>
      <c r="C5" t="s">
        <v>219</v>
      </c>
      <c r="D5" t="s">
        <v>213</v>
      </c>
    </row>
    <row r="6" spans="1:4">
      <c r="A6" t="s">
        <v>94</v>
      </c>
      <c r="B6" t="s">
        <v>220</v>
      </c>
      <c r="C6" t="s">
        <v>212</v>
      </c>
      <c r="D6" t="s">
        <v>221</v>
      </c>
    </row>
    <row r="7" spans="1:4">
      <c r="A7" t="s">
        <v>121</v>
      </c>
      <c r="B7" t="s">
        <v>222</v>
      </c>
      <c r="C7" t="s">
        <v>223</v>
      </c>
      <c r="D7" t="s">
        <v>221</v>
      </c>
    </row>
    <row r="8" spans="1:4">
      <c r="A8" t="s">
        <v>125</v>
      </c>
      <c r="B8" t="s">
        <v>224</v>
      </c>
      <c r="C8" t="s">
        <v>217</v>
      </c>
      <c r="D8" t="s">
        <v>213</v>
      </c>
    </row>
    <row r="9" spans="1:4">
      <c r="A9" t="s">
        <v>156</v>
      </c>
      <c r="B9" t="s">
        <v>225</v>
      </c>
      <c r="C9" t="s">
        <v>226</v>
      </c>
      <c r="D9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 activeCell="C24" sqref="C24"/>
    </sheetView>
  </sheetViews>
  <sheetFormatPr defaultRowHeight="15"/>
  <cols>
    <col min="1" max="1" width="8.125" customWidth="1"/>
    <col min="2" max="2" width="32.375" customWidth="1"/>
    <col min="3" max="3" width="20.375" customWidth="1"/>
  </cols>
  <sheetData>
    <row r="1" spans="1:3">
      <c r="A1" s="4" t="s">
        <v>61</v>
      </c>
      <c r="B1" s="4" t="s">
        <v>228</v>
      </c>
      <c r="C1" s="4" t="s">
        <v>229</v>
      </c>
    </row>
    <row r="2" spans="1:3">
      <c r="A2" t="s">
        <v>191</v>
      </c>
      <c r="B2" t="s">
        <v>230</v>
      </c>
      <c r="C2" t="s">
        <v>231</v>
      </c>
    </row>
    <row r="3" spans="1:3">
      <c r="A3" t="s">
        <v>144</v>
      </c>
      <c r="B3" t="s">
        <v>232</v>
      </c>
      <c r="C3" t="s">
        <v>215</v>
      </c>
    </row>
    <row r="4" spans="1:3">
      <c r="A4" t="s">
        <v>134</v>
      </c>
      <c r="B4" t="s">
        <v>233</v>
      </c>
      <c r="C4" t="s">
        <v>215</v>
      </c>
    </row>
    <row r="5" spans="1:3">
      <c r="A5" t="s">
        <v>95</v>
      </c>
      <c r="B5" t="s">
        <v>234</v>
      </c>
      <c r="C5" t="s">
        <v>215</v>
      </c>
    </row>
    <row r="6" spans="1:3">
      <c r="A6" t="s">
        <v>80</v>
      </c>
      <c r="B6" t="s">
        <v>235</v>
      </c>
      <c r="C6" t="s">
        <v>215</v>
      </c>
    </row>
    <row r="7" spans="1:3">
      <c r="A7" t="s">
        <v>113</v>
      </c>
      <c r="B7" t="s">
        <v>236</v>
      </c>
      <c r="C7" t="s">
        <v>237</v>
      </c>
    </row>
    <row r="8" spans="1:3">
      <c r="A8" t="s">
        <v>148</v>
      </c>
      <c r="B8" t="s">
        <v>238</v>
      </c>
      <c r="C8" t="s">
        <v>239</v>
      </c>
    </row>
    <row r="9" spans="1:3">
      <c r="A9" t="s">
        <v>122</v>
      </c>
      <c r="B9" t="s">
        <v>240</v>
      </c>
      <c r="C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5C7C-1DEC-471B-86FF-F4EC92C71050}">
  <dimension ref="A1:B9"/>
  <sheetViews>
    <sheetView workbookViewId="0">
      <selection activeCell="C21" sqref="C21"/>
    </sheetView>
  </sheetViews>
  <sheetFormatPr defaultRowHeight="14.25"/>
  <cols>
    <col min="1" max="1" width="23.875" bestFit="1" customWidth="1"/>
    <col min="2" max="2" width="17" bestFit="1" customWidth="1"/>
  </cols>
  <sheetData>
    <row r="1" spans="1:2">
      <c r="A1" s="19" t="s">
        <v>66</v>
      </c>
      <c r="B1" t="s">
        <v>97</v>
      </c>
    </row>
    <row r="3" spans="1:2">
      <c r="A3" s="19" t="s">
        <v>67</v>
      </c>
      <c r="B3" t="s">
        <v>242</v>
      </c>
    </row>
    <row r="4" spans="1:2">
      <c r="A4" t="s">
        <v>117</v>
      </c>
      <c r="B4" s="6">
        <v>3</v>
      </c>
    </row>
    <row r="5" spans="1:2">
      <c r="A5" t="s">
        <v>98</v>
      </c>
      <c r="B5" s="6">
        <v>3</v>
      </c>
    </row>
    <row r="6" spans="1:2">
      <c r="A6" t="s">
        <v>104</v>
      </c>
      <c r="B6" s="6">
        <v>3</v>
      </c>
    </row>
    <row r="7" spans="1:2">
      <c r="A7" t="s">
        <v>145</v>
      </c>
      <c r="B7" s="6">
        <v>4</v>
      </c>
    </row>
    <row r="8" spans="1:2">
      <c r="A8" t="s">
        <v>157</v>
      </c>
      <c r="B8" s="6">
        <v>2</v>
      </c>
    </row>
    <row r="9" spans="1:2">
      <c r="A9" t="s">
        <v>243</v>
      </c>
      <c r="B9" s="6">
        <v>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2F5-DD8A-43E0-8CC8-BA92FF030C50}">
  <dimension ref="A3:C9"/>
  <sheetViews>
    <sheetView workbookViewId="0">
      <selection activeCell="C28" sqref="C28"/>
    </sheetView>
  </sheetViews>
  <sheetFormatPr defaultRowHeight="14.25"/>
  <cols>
    <col min="1" max="1" width="15.5" bestFit="1" customWidth="1"/>
    <col min="2" max="2" width="21" bestFit="1" customWidth="1"/>
    <col min="3" max="3" width="19.875" bestFit="1" customWidth="1"/>
    <col min="4" max="5" width="17" bestFit="1" customWidth="1"/>
  </cols>
  <sheetData>
    <row r="3" spans="1:3">
      <c r="A3" s="19" t="s">
        <v>68</v>
      </c>
      <c r="B3" t="s">
        <v>244</v>
      </c>
      <c r="C3" t="s">
        <v>245</v>
      </c>
    </row>
    <row r="4" spans="1:3">
      <c r="A4" t="s">
        <v>111</v>
      </c>
      <c r="B4" s="6">
        <v>7218.79</v>
      </c>
      <c r="C4" s="6">
        <v>2428.6699999999996</v>
      </c>
    </row>
    <row r="5" spans="1:3">
      <c r="A5" t="s">
        <v>87</v>
      </c>
      <c r="B5" s="6">
        <v>4888.3600000000006</v>
      </c>
      <c r="C5" s="6">
        <v>2982.81</v>
      </c>
    </row>
    <row r="6" spans="1:3">
      <c r="A6" t="s">
        <v>105</v>
      </c>
      <c r="B6" s="6">
        <v>6628.0999999999995</v>
      </c>
      <c r="C6" s="6">
        <v>2690.4700000000003</v>
      </c>
    </row>
    <row r="7" spans="1:3">
      <c r="A7" t="s">
        <v>99</v>
      </c>
      <c r="B7" s="6">
        <v>8781.14</v>
      </c>
      <c r="C7" s="6">
        <v>2505.0400000000004</v>
      </c>
    </row>
    <row r="8" spans="1:3">
      <c r="A8" t="s">
        <v>118</v>
      </c>
      <c r="B8" s="6">
        <v>9645.4200000000019</v>
      </c>
      <c r="C8" s="6">
        <v>3920.45</v>
      </c>
    </row>
    <row r="9" spans="1:3">
      <c r="A9" t="s">
        <v>243</v>
      </c>
      <c r="B9" s="20">
        <v>37161.81</v>
      </c>
      <c r="C9" s="20">
        <v>14527.439999999999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8AFD-F0E6-4276-86C5-FAE88CFAD7F7}">
  <dimension ref="A3:B10"/>
  <sheetViews>
    <sheetView workbookViewId="0">
      <selection activeCell="B16" sqref="B16"/>
    </sheetView>
  </sheetViews>
  <sheetFormatPr defaultRowHeight="14.25"/>
  <cols>
    <col min="1" max="1" width="20.25" bestFit="1" customWidth="1"/>
    <col min="2" max="2" width="26" bestFit="1" customWidth="1"/>
  </cols>
  <sheetData>
    <row r="3" spans="1:2">
      <c r="A3" s="19" t="s">
        <v>75</v>
      </c>
      <c r="B3" t="s">
        <v>246</v>
      </c>
    </row>
    <row r="4" spans="1:2">
      <c r="A4" t="s">
        <v>215</v>
      </c>
      <c r="B4" s="21">
        <v>19.333333333333332</v>
      </c>
    </row>
    <row r="5" spans="1:2">
      <c r="A5" t="s">
        <v>226</v>
      </c>
      <c r="B5" s="21">
        <v>26.75</v>
      </c>
    </row>
    <row r="6" spans="1:2">
      <c r="A6" t="s">
        <v>219</v>
      </c>
      <c r="B6" s="21">
        <v>23</v>
      </c>
    </row>
    <row r="7" spans="1:2">
      <c r="A7" t="s">
        <v>217</v>
      </c>
      <c r="B7" s="21">
        <v>26.181818181818183</v>
      </c>
    </row>
    <row r="8" spans="1:2">
      <c r="A8" t="s">
        <v>212</v>
      </c>
      <c r="B8" s="21">
        <v>24.0625</v>
      </c>
    </row>
    <row r="9" spans="1:2">
      <c r="A9" t="s">
        <v>223</v>
      </c>
      <c r="B9" s="21">
        <v>36.25</v>
      </c>
    </row>
    <row r="10" spans="1:2">
      <c r="A10" t="s">
        <v>243</v>
      </c>
      <c r="B10" s="21">
        <v>24.673076923076923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8476-F8B9-4E6E-9D88-22471600B28F}">
  <dimension ref="A1:A9"/>
  <sheetViews>
    <sheetView workbookViewId="0">
      <selection activeCell="A13" sqref="A13"/>
    </sheetView>
  </sheetViews>
  <sheetFormatPr defaultRowHeight="14.25"/>
  <cols>
    <col min="1" max="1" width="97.875" customWidth="1"/>
  </cols>
  <sheetData>
    <row r="1" spans="1:1" ht="23.25">
      <c r="A1" s="22" t="s">
        <v>247</v>
      </c>
    </row>
    <row r="2" spans="1:1">
      <c r="A2" s="23"/>
    </row>
    <row r="3" spans="1:1" ht="33.75">
      <c r="A3" s="23" t="s">
        <v>248</v>
      </c>
    </row>
    <row r="4" spans="1:1" ht="16.5">
      <c r="A4" s="23" t="s">
        <v>249</v>
      </c>
    </row>
    <row r="5" spans="1:1" ht="33.75">
      <c r="A5" s="23" t="s">
        <v>250</v>
      </c>
    </row>
    <row r="6" spans="1:1" ht="16.5">
      <c r="A6" s="23" t="s">
        <v>251</v>
      </c>
    </row>
    <row r="7" spans="1:1" ht="16.5">
      <c r="A7" s="23" t="s">
        <v>252</v>
      </c>
    </row>
    <row r="9" spans="1:1" ht="15">
      <c r="A9" s="2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2026-10-19T21:33:05Z</dcterms:created>
  <dcterms:modified xsi:type="dcterms:W3CDTF">2026-10-19T21:33:28Z</dcterms:modified>
  <cp:category/>
  <cp:contentStatus/>
</cp:coreProperties>
</file>